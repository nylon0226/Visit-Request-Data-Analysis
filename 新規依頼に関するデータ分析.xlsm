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esktop\Visit-Request-Data-Analysis-main\Visit-Request-Data-Analysis-main\"/>
    </mc:Choice>
  </mc:AlternateContent>
  <xr:revisionPtr revIDLastSave="0" documentId="13_ncr:1_{8B1EA69B-A1EF-48AA-9140-20DF20CF9BFE}" xr6:coauthVersionLast="47" xr6:coauthVersionMax="47" xr10:uidLastSave="{00000000-0000-0000-0000-000000000000}"/>
  <bookViews>
    <workbookView xWindow="-107" yWindow="-107" windowWidth="20847" windowHeight="12401" activeTab="1" xr2:uid="{05F7F536-25D1-477E-9095-CE374426866E}"/>
  </bookViews>
  <sheets>
    <sheet name="仕様書" sheetId="123" r:id="rId1"/>
    <sheet name="ALL" sheetId="13" r:id="rId2"/>
    <sheet name="原本" sheetId="12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1" i="13" l="1"/>
  <c r="M120" i="13"/>
  <c r="M119" i="13"/>
  <c r="M118" i="13"/>
  <c r="M117" i="13"/>
  <c r="M116" i="13"/>
  <c r="M115" i="13"/>
  <c r="M114" i="13"/>
  <c r="M113" i="13"/>
  <c r="M112" i="13"/>
  <c r="M111" i="13"/>
  <c r="M110" i="13"/>
  <c r="M109" i="13"/>
  <c r="M108" i="13"/>
  <c r="M107" i="13"/>
  <c r="M106" i="13"/>
  <c r="M105" i="13"/>
  <c r="M104" i="13"/>
  <c r="M103" i="13"/>
  <c r="M102" i="13"/>
  <c r="M101" i="13"/>
  <c r="M100" i="13"/>
  <c r="M99" i="13"/>
  <c r="M98" i="13"/>
  <c r="M97" i="13"/>
  <c r="M96" i="13"/>
  <c r="M95" i="13"/>
  <c r="M94" i="13"/>
  <c r="M93" i="13"/>
  <c r="M92" i="13"/>
  <c r="M91" i="13"/>
  <c r="M90" i="13"/>
  <c r="M89" i="13"/>
  <c r="M88" i="13"/>
  <c r="M87" i="13"/>
  <c r="M86" i="13"/>
  <c r="M85" i="13"/>
  <c r="M84" i="13"/>
  <c r="M83" i="13"/>
  <c r="M82" i="13"/>
  <c r="M81" i="13"/>
  <c r="M80" i="13"/>
  <c r="M79" i="13"/>
  <c r="M78" i="13"/>
  <c r="M77" i="13"/>
  <c r="M76" i="13"/>
  <c r="M75" i="13"/>
  <c r="M74" i="13"/>
  <c r="M73" i="13"/>
  <c r="M72" i="13"/>
  <c r="M71" i="13"/>
  <c r="M70" i="13"/>
  <c r="M69" i="13"/>
  <c r="M68" i="13"/>
  <c r="M67" i="13"/>
  <c r="M66" i="13"/>
  <c r="M65" i="13"/>
  <c r="M64" i="13"/>
  <c r="M63" i="13"/>
  <c r="M62" i="13"/>
  <c r="M61" i="13"/>
  <c r="M60" i="13"/>
  <c r="M59" i="13"/>
  <c r="M57" i="13"/>
  <c r="M56" i="13"/>
  <c r="M58" i="13"/>
  <c r="M55" i="13"/>
  <c r="M54" i="13"/>
  <c r="M53" i="13"/>
  <c r="M52" i="13"/>
  <c r="M51" i="13"/>
  <c r="M50" i="13"/>
  <c r="M49" i="13"/>
  <c r="M48" i="13"/>
  <c r="M47" i="13"/>
  <c r="M46" i="13"/>
  <c r="M45" i="13"/>
  <c r="M44" i="13"/>
  <c r="M43" i="13"/>
  <c r="M42" i="13"/>
  <c r="M41" i="13"/>
  <c r="M40" i="13"/>
  <c r="M39" i="13"/>
  <c r="K35" i="124"/>
  <c r="L35" i="124" s="1"/>
  <c r="K34" i="124"/>
  <c r="L34" i="124" s="1"/>
  <c r="K33" i="124"/>
  <c r="L33" i="124" s="1"/>
  <c r="K32" i="124"/>
  <c r="L32" i="124" s="1"/>
  <c r="K31" i="124"/>
  <c r="L27" i="124"/>
  <c r="L26" i="124"/>
  <c r="L25" i="124"/>
  <c r="L24" i="124"/>
  <c r="L23" i="124"/>
  <c r="L19" i="124"/>
  <c r="K19" i="124"/>
  <c r="L18" i="124"/>
  <c r="K18" i="124"/>
  <c r="L17" i="124"/>
  <c r="K17" i="124"/>
  <c r="L16" i="124"/>
  <c r="K16" i="124"/>
  <c r="L15" i="124"/>
  <c r="K15" i="124"/>
  <c r="L14" i="124"/>
  <c r="K14" i="124"/>
  <c r="L13" i="124"/>
  <c r="K13" i="124"/>
  <c r="L12" i="124"/>
  <c r="K12" i="124"/>
  <c r="L11" i="124"/>
  <c r="K11" i="124"/>
  <c r="L10" i="124"/>
  <c r="M10" i="124" s="1"/>
  <c r="K10" i="124"/>
  <c r="L9" i="124"/>
  <c r="M9" i="124" s="1"/>
  <c r="K9" i="124"/>
  <c r="L8" i="124"/>
  <c r="M8" i="124" s="1"/>
  <c r="K8" i="124"/>
  <c r="K4" i="124"/>
  <c r="J4" i="124"/>
  <c r="L4" i="124" s="1"/>
  <c r="L19" i="13"/>
  <c r="L18" i="13"/>
  <c r="L17" i="13"/>
  <c r="L16" i="13"/>
  <c r="L15" i="13"/>
  <c r="L14" i="13"/>
  <c r="L13" i="13"/>
  <c r="L12" i="13"/>
  <c r="L11" i="13"/>
  <c r="L10" i="13"/>
  <c r="L9" i="13"/>
  <c r="K9" i="13"/>
  <c r="L8" i="13"/>
  <c r="K19" i="13"/>
  <c r="K18" i="13"/>
  <c r="K17" i="13"/>
  <c r="K16" i="13"/>
  <c r="K15" i="13"/>
  <c r="K14" i="13"/>
  <c r="K13" i="13"/>
  <c r="K12" i="13"/>
  <c r="K11" i="13"/>
  <c r="K10" i="13"/>
  <c r="K8" i="13"/>
  <c r="M13" i="124" l="1"/>
  <c r="M17" i="124"/>
  <c r="M14" i="124"/>
  <c r="M18" i="124"/>
  <c r="L31" i="124"/>
  <c r="M11" i="124"/>
  <c r="M15" i="124"/>
  <c r="M19" i="124"/>
  <c r="M12" i="124"/>
  <c r="M16" i="124"/>
  <c r="M25" i="124"/>
  <c r="M26" i="124"/>
  <c r="M23" i="124"/>
  <c r="M27" i="124"/>
  <c r="M24" i="124"/>
  <c r="K35" i="13"/>
  <c r="K34" i="13"/>
  <c r="K33" i="13"/>
  <c r="K32" i="13"/>
  <c r="K31" i="13"/>
  <c r="L23" i="13"/>
  <c r="L27" i="13"/>
  <c r="L26" i="13"/>
  <c r="L25" i="13"/>
  <c r="L24" i="13"/>
  <c r="M17" i="13"/>
  <c r="M15" i="13"/>
  <c r="M13" i="13"/>
  <c r="K4" i="13"/>
  <c r="J4" i="13"/>
  <c r="L33" i="13" l="1"/>
  <c r="L34" i="13"/>
  <c r="L31" i="13"/>
  <c r="L35" i="13"/>
  <c r="L32" i="13"/>
  <c r="M23" i="13"/>
  <c r="M19" i="13"/>
  <c r="M26" i="13"/>
  <c r="M24" i="13"/>
  <c r="M27" i="13"/>
  <c r="M25" i="13"/>
  <c r="L4" i="13"/>
  <c r="M9" i="13"/>
  <c r="M14" i="13"/>
  <c r="M18" i="13"/>
  <c r="M8" i="13"/>
  <c r="M10" i="13"/>
  <c r="M11" i="13"/>
  <c r="M12" i="13"/>
  <c r="M16" i="13"/>
</calcChain>
</file>

<file path=xl/sharedStrings.xml><?xml version="1.0" encoding="utf-8"?>
<sst xmlns="http://schemas.openxmlformats.org/spreadsheetml/2006/main" count="616" uniqueCount="348">
  <si>
    <t>依頼日</t>
    <rPh sb="0" eb="2">
      <t>イライ</t>
    </rPh>
    <rPh sb="2" eb="3">
      <t>ビ</t>
    </rPh>
    <phoneticPr fontId="1"/>
  </si>
  <si>
    <t>依頼元所属</t>
    <rPh sb="0" eb="3">
      <t>イライモト</t>
    </rPh>
    <rPh sb="3" eb="5">
      <t>ショゾク</t>
    </rPh>
    <phoneticPr fontId="1"/>
  </si>
  <si>
    <t>依頼者名</t>
    <rPh sb="0" eb="4">
      <t>イライシャメイ</t>
    </rPh>
    <phoneticPr fontId="1"/>
  </si>
  <si>
    <t>ご利用者様名</t>
    <rPh sb="1" eb="5">
      <t>リヨウシャサマ</t>
    </rPh>
    <rPh sb="5" eb="6">
      <t>メイ</t>
    </rPh>
    <phoneticPr fontId="1"/>
  </si>
  <si>
    <t>備考</t>
    <rPh sb="0" eb="2">
      <t>ビコウ</t>
    </rPh>
    <phoneticPr fontId="1"/>
  </si>
  <si>
    <t>保険種別</t>
    <rPh sb="0" eb="4">
      <t>ホケンシュベツ</t>
    </rPh>
    <phoneticPr fontId="1"/>
  </si>
  <si>
    <t>医療</t>
    <rPh sb="0" eb="2">
      <t>イリョウ</t>
    </rPh>
    <phoneticPr fontId="1"/>
  </si>
  <si>
    <t>介護</t>
    <rPh sb="0" eb="2">
      <t>カイゴ</t>
    </rPh>
    <phoneticPr fontId="1"/>
  </si>
  <si>
    <t>不明</t>
    <rPh sb="0" eb="2">
      <t>フメイ</t>
    </rPh>
    <phoneticPr fontId="1"/>
  </si>
  <si>
    <t>×</t>
    <phoneticPr fontId="1"/>
  </si>
  <si>
    <t>自費</t>
    <rPh sb="0" eb="2">
      <t>ジヒ</t>
    </rPh>
    <phoneticPr fontId="1"/>
  </si>
  <si>
    <t>1月</t>
    <rPh sb="1" eb="2">
      <t>ガツ</t>
    </rPh>
    <phoneticPr fontId="1"/>
  </si>
  <si>
    <t>2月</t>
    <rPh sb="1" eb="2">
      <t>ガツ</t>
    </rPh>
    <phoneticPr fontId="1"/>
  </si>
  <si>
    <t>3月</t>
    <rPh sb="1" eb="2">
      <t>ガツ</t>
    </rPh>
    <phoneticPr fontId="1"/>
  </si>
  <si>
    <t>4月</t>
    <rPh sb="1" eb="2">
      <t>ガツ</t>
    </rPh>
    <phoneticPr fontId="1"/>
  </si>
  <si>
    <t>5月</t>
    <rPh sb="1" eb="2">
      <t>ガツ</t>
    </rPh>
    <phoneticPr fontId="1"/>
  </si>
  <si>
    <t>6月</t>
    <rPh sb="1" eb="2">
      <t>ガツ</t>
    </rPh>
    <phoneticPr fontId="1"/>
  </si>
  <si>
    <t>7月</t>
    <rPh sb="1" eb="2">
      <t>ガツ</t>
    </rPh>
    <phoneticPr fontId="1"/>
  </si>
  <si>
    <t>8月</t>
    <rPh sb="1" eb="2">
      <t>ガツ</t>
    </rPh>
    <phoneticPr fontId="1"/>
  </si>
  <si>
    <t>9月</t>
    <rPh sb="1" eb="2">
      <t>ガツ</t>
    </rPh>
    <phoneticPr fontId="1"/>
  </si>
  <si>
    <t>10月</t>
    <rPh sb="2" eb="3">
      <t>ガツ</t>
    </rPh>
    <phoneticPr fontId="1"/>
  </si>
  <si>
    <t>11月</t>
    <rPh sb="2" eb="3">
      <t>ガツ</t>
    </rPh>
    <phoneticPr fontId="1"/>
  </si>
  <si>
    <t>12月</t>
    <rPh sb="2" eb="3">
      <t>ガツ</t>
    </rPh>
    <phoneticPr fontId="1"/>
  </si>
  <si>
    <t>月別依頼件数</t>
    <rPh sb="0" eb="2">
      <t>ツキベツ</t>
    </rPh>
    <rPh sb="2" eb="4">
      <t>イライ</t>
    </rPh>
    <rPh sb="4" eb="6">
      <t>ケンスウ</t>
    </rPh>
    <phoneticPr fontId="1"/>
  </si>
  <si>
    <t>月</t>
    <rPh sb="0" eb="1">
      <t>ツキ</t>
    </rPh>
    <phoneticPr fontId="1"/>
  </si>
  <si>
    <t>未介入理由分類</t>
    <rPh sb="0" eb="5">
      <t>ミカイニュウリユウ</t>
    </rPh>
    <rPh sb="5" eb="7">
      <t>ブンルイ</t>
    </rPh>
    <phoneticPr fontId="1"/>
  </si>
  <si>
    <t>入院・他施設への入居・ご逝去（不可抗力）</t>
    <rPh sb="0" eb="2">
      <t>ニュウイン</t>
    </rPh>
    <rPh sb="3" eb="4">
      <t>タ</t>
    </rPh>
    <rPh sb="4" eb="6">
      <t>シセツ</t>
    </rPh>
    <rPh sb="8" eb="10">
      <t>ニュウキョ</t>
    </rPh>
    <rPh sb="12" eb="14">
      <t>セイキョ</t>
    </rPh>
    <rPh sb="15" eb="19">
      <t>フカコウリョク</t>
    </rPh>
    <phoneticPr fontId="1"/>
  </si>
  <si>
    <t>その他</t>
    <rPh sb="2" eb="3">
      <t>タ</t>
    </rPh>
    <phoneticPr fontId="1"/>
  </si>
  <si>
    <t>指示書を出してもらえず</t>
    <rPh sb="0" eb="3">
      <t>シジショ</t>
    </rPh>
    <rPh sb="4" eb="5">
      <t>ダ</t>
    </rPh>
    <phoneticPr fontId="1"/>
  </si>
  <si>
    <t>介入理由が無い、なくなった（症状改善等）</t>
    <rPh sb="0" eb="2">
      <t>カイニュウ</t>
    </rPh>
    <rPh sb="2" eb="4">
      <t>リユウ</t>
    </rPh>
    <rPh sb="5" eb="6">
      <t>ナ</t>
    </rPh>
    <rPh sb="14" eb="19">
      <t>ショウジョウカイゼントウ</t>
    </rPh>
    <phoneticPr fontId="1"/>
  </si>
  <si>
    <t>介入に嫌悪・不安感（心理的ハードル）</t>
    <rPh sb="0" eb="2">
      <t>カイニュウ</t>
    </rPh>
    <rPh sb="3" eb="5">
      <t>ケンオ</t>
    </rPh>
    <rPh sb="6" eb="9">
      <t>フアンカン</t>
    </rPh>
    <rPh sb="10" eb="12">
      <t>シンリ</t>
    </rPh>
    <rPh sb="12" eb="13">
      <t>テキ</t>
    </rPh>
    <phoneticPr fontId="1"/>
  </si>
  <si>
    <t>該当数</t>
    <rPh sb="0" eb="3">
      <t>ガイトウスウ</t>
    </rPh>
    <phoneticPr fontId="1"/>
  </si>
  <si>
    <t>〇</t>
    <phoneticPr fontId="1"/>
  </si>
  <si>
    <t>総介入率</t>
    <rPh sb="0" eb="4">
      <t>ソウカイニュウリツ</t>
    </rPh>
    <phoneticPr fontId="1"/>
  </si>
  <si>
    <t>介入不可の理由別率　※介入不可内での割合分布</t>
    <rPh sb="0" eb="4">
      <t>カイニュウフカ</t>
    </rPh>
    <rPh sb="5" eb="9">
      <t>リユウベツリツ</t>
    </rPh>
    <rPh sb="11" eb="15">
      <t>カイニュウフカ</t>
    </rPh>
    <rPh sb="15" eb="16">
      <t>ナイ</t>
    </rPh>
    <rPh sb="18" eb="22">
      <t>ワリアイブンプ</t>
    </rPh>
    <phoneticPr fontId="1"/>
  </si>
  <si>
    <t>ご利用者様の保険種別</t>
  </si>
  <si>
    <t>医・介</t>
    <rPh sb="0" eb="1">
      <t>イ</t>
    </rPh>
    <rPh sb="2" eb="3">
      <t>カイ</t>
    </rPh>
    <phoneticPr fontId="1"/>
  </si>
  <si>
    <t>総依頼件数</t>
    <rPh sb="0" eb="1">
      <t>ソウ</t>
    </rPh>
    <rPh sb="1" eb="5">
      <t>イライケンスウ</t>
    </rPh>
    <phoneticPr fontId="1"/>
  </si>
  <si>
    <t>介入不可理由</t>
    <rPh sb="0" eb="2">
      <t>カイニュウ</t>
    </rPh>
    <rPh sb="2" eb="4">
      <t>フカ</t>
    </rPh>
    <rPh sb="4" eb="6">
      <t>リユウ</t>
    </rPh>
    <phoneticPr fontId="1"/>
  </si>
  <si>
    <t>総介入不可件数</t>
    <rPh sb="0" eb="1">
      <t>ソウ</t>
    </rPh>
    <rPh sb="1" eb="3">
      <t>カイニュウ</t>
    </rPh>
    <rPh sb="3" eb="5">
      <t>フカ</t>
    </rPh>
    <rPh sb="5" eb="7">
      <t>ケンスウ</t>
    </rPh>
    <phoneticPr fontId="1"/>
  </si>
  <si>
    <t>総介入不可率</t>
    <rPh sb="0" eb="1">
      <t>ソウ</t>
    </rPh>
    <rPh sb="1" eb="3">
      <t>カイニュウ</t>
    </rPh>
    <rPh sb="3" eb="5">
      <t>フカ</t>
    </rPh>
    <rPh sb="5" eb="6">
      <t>リツ</t>
    </rPh>
    <phoneticPr fontId="1"/>
  </si>
  <si>
    <t>月別介入不可率</t>
    <rPh sb="0" eb="2">
      <t>ツキベツ</t>
    </rPh>
    <rPh sb="2" eb="4">
      <t>カイニュウ</t>
    </rPh>
    <rPh sb="4" eb="6">
      <t>フカ</t>
    </rPh>
    <rPh sb="6" eb="7">
      <t>リツ</t>
    </rPh>
    <phoneticPr fontId="1"/>
  </si>
  <si>
    <t>月別介入不可件数</t>
    <rPh sb="2" eb="4">
      <t>カイニュウ</t>
    </rPh>
    <rPh sb="4" eb="6">
      <t>フカ</t>
    </rPh>
    <rPh sb="6" eb="8">
      <t>ケンスウ</t>
    </rPh>
    <phoneticPr fontId="1"/>
  </si>
  <si>
    <t>総依頼数内での比率</t>
    <rPh sb="0" eb="3">
      <t>ソウイライ</t>
    </rPh>
    <rPh sb="3" eb="4">
      <t>スウ</t>
    </rPh>
    <rPh sb="4" eb="5">
      <t>ナイ</t>
    </rPh>
    <rPh sb="7" eb="9">
      <t>ヒリツ</t>
    </rPh>
    <phoneticPr fontId="1"/>
  </si>
  <si>
    <t>1.ALLのシートのA～Hまでを入力or選択します。(不明な項目は未入力で構いません）</t>
    <rPh sb="16" eb="18">
      <t>ニュウリョク</t>
    </rPh>
    <rPh sb="20" eb="22">
      <t>センタク</t>
    </rPh>
    <rPh sb="27" eb="29">
      <t>フメイ</t>
    </rPh>
    <rPh sb="30" eb="32">
      <t>コウモク</t>
    </rPh>
    <rPh sb="33" eb="36">
      <t>ミニュウリョク</t>
    </rPh>
    <rPh sb="37" eb="38">
      <t>カマ</t>
    </rPh>
    <phoneticPr fontId="1"/>
  </si>
  <si>
    <t>※注意点</t>
    <rPh sb="1" eb="4">
      <t>チュウイテン</t>
    </rPh>
    <phoneticPr fontId="1"/>
  </si>
  <si>
    <t>・同じ事業所の名称は統一して下さい。（例えば「いしが在宅」と「いしが在宅ケアクリニック」等、略称と正式名称が混在するのは×）</t>
    <rPh sb="1" eb="2">
      <t>オナ</t>
    </rPh>
    <rPh sb="3" eb="6">
      <t>ジギョウショ</t>
    </rPh>
    <rPh sb="7" eb="9">
      <t>メイショウ</t>
    </rPh>
    <rPh sb="10" eb="12">
      <t>トウイツ</t>
    </rPh>
    <rPh sb="14" eb="15">
      <t>クダ</t>
    </rPh>
    <rPh sb="19" eb="20">
      <t>タト</t>
    </rPh>
    <rPh sb="26" eb="28">
      <t>ザイタク</t>
    </rPh>
    <rPh sb="34" eb="36">
      <t>ザイタク</t>
    </rPh>
    <rPh sb="44" eb="45">
      <t>ナド</t>
    </rPh>
    <rPh sb="46" eb="48">
      <t>リャクショウ</t>
    </rPh>
    <rPh sb="49" eb="51">
      <t>セイシキ</t>
    </rPh>
    <rPh sb="51" eb="53">
      <t>メイショウ</t>
    </rPh>
    <rPh sb="54" eb="56">
      <t>コンザイ</t>
    </rPh>
    <phoneticPr fontId="1"/>
  </si>
  <si>
    <t>・事業所別のシートに転記済みの依頼の行を、ALLのシートで改変（各項目の変更等）し、再度上記の操作をした場合、改変後のデータは転記されません。
　※事業所別のシートに転記されるのはまだ転記されていない依頼のみです。</t>
    <rPh sb="15" eb="17">
      <t>イライ</t>
    </rPh>
    <rPh sb="18" eb="19">
      <t>ギョウ</t>
    </rPh>
    <rPh sb="29" eb="31">
      <t>カイヘン</t>
    </rPh>
    <rPh sb="32" eb="35">
      <t>カクコウモク</t>
    </rPh>
    <rPh sb="36" eb="38">
      <t>ヘンコウ</t>
    </rPh>
    <rPh sb="38" eb="39">
      <t>トウ</t>
    </rPh>
    <rPh sb="42" eb="44">
      <t>サイド</t>
    </rPh>
    <rPh sb="44" eb="46">
      <t>ジョウキ</t>
    </rPh>
    <rPh sb="47" eb="49">
      <t>ソウサ</t>
    </rPh>
    <rPh sb="52" eb="54">
      <t>バアイ</t>
    </rPh>
    <rPh sb="55" eb="58">
      <t>カイヘンゴ</t>
    </rPh>
    <rPh sb="63" eb="65">
      <t>テンキ</t>
    </rPh>
    <rPh sb="83" eb="85">
      <t>テンキ</t>
    </rPh>
    <rPh sb="92" eb="94">
      <t>テンキ</t>
    </rPh>
    <rPh sb="100" eb="102">
      <t>イライ</t>
    </rPh>
    <phoneticPr fontId="1"/>
  </si>
  <si>
    <t>かがやき</t>
    <phoneticPr fontId="1"/>
  </si>
  <si>
    <t>△</t>
    <phoneticPr fontId="1"/>
  </si>
  <si>
    <t>哺乳不良</t>
    <phoneticPr fontId="1"/>
  </si>
  <si>
    <t>誤嚥性肺炎、往診で入院要と判断される</t>
    <phoneticPr fontId="1"/>
  </si>
  <si>
    <t>くぬぎの木</t>
    <phoneticPr fontId="1"/>
  </si>
  <si>
    <t>ギランバレー症候群,構音障害</t>
    <phoneticPr fontId="1"/>
  </si>
  <si>
    <t>両下肢蜂窩織炎後、おそらく要支援1</t>
    <phoneticPr fontId="1"/>
  </si>
  <si>
    <t>・原本のシートは触らないで下さい。</t>
    <rPh sb="1" eb="3">
      <t>ゲンポン</t>
    </rPh>
    <rPh sb="8" eb="9">
      <t>サワ</t>
    </rPh>
    <rPh sb="13" eb="14">
      <t>クダ</t>
    </rPh>
    <phoneticPr fontId="1"/>
  </si>
  <si>
    <t>2.ALLのシートのどこかでダブルクリックすると「はい・いいえ」のポップアップが出ます。「はい」を選択すると事業所別のシートが生成されます。
　また、既にその事業所のシートがある場合は新しい依頼だけがそのシートに転記されます。</t>
    <rPh sb="40" eb="41">
      <t>デ</t>
    </rPh>
    <rPh sb="49" eb="51">
      <t>センタク</t>
    </rPh>
    <rPh sb="54" eb="58">
      <t>ジギョウショベツ</t>
    </rPh>
    <rPh sb="63" eb="65">
      <t>セイセイ</t>
    </rPh>
    <rPh sb="75" eb="76">
      <t>スデ</t>
    </rPh>
    <rPh sb="79" eb="82">
      <t>ジギョウショ</t>
    </rPh>
    <rPh sb="89" eb="91">
      <t>バアイ</t>
    </rPh>
    <rPh sb="92" eb="93">
      <t>アタラ</t>
    </rPh>
    <rPh sb="95" eb="97">
      <t>イライ</t>
    </rPh>
    <rPh sb="106" eb="108">
      <t>テンキ</t>
    </rPh>
    <phoneticPr fontId="1"/>
  </si>
  <si>
    <t>×</t>
  </si>
  <si>
    <t>〇</t>
  </si>
  <si>
    <t>新規依頼に対する介入不可率　仕様書</t>
    <rPh sb="0" eb="2">
      <t>シンキ</t>
    </rPh>
    <rPh sb="2" eb="4">
      <t>イライ</t>
    </rPh>
    <rPh sb="5" eb="6">
      <t>タイ</t>
    </rPh>
    <rPh sb="8" eb="10">
      <t>カイニュウ</t>
    </rPh>
    <rPh sb="10" eb="12">
      <t>フカ</t>
    </rPh>
    <rPh sb="12" eb="13">
      <t>リツ</t>
    </rPh>
    <rPh sb="14" eb="17">
      <t>シヨウショ</t>
    </rPh>
    <phoneticPr fontId="1"/>
  </si>
  <si>
    <t>介入不可内での比率</t>
    <rPh sb="2" eb="4">
      <t>フカ</t>
    </rPh>
    <phoneticPr fontId="1"/>
  </si>
  <si>
    <t>介入不可</t>
    <rPh sb="0" eb="2">
      <t>カイニュウ</t>
    </rPh>
    <rPh sb="2" eb="4">
      <t>フカ</t>
    </rPh>
    <phoneticPr fontId="1"/>
  </si>
  <si>
    <t>介入保留中</t>
    <rPh sb="0" eb="5">
      <t>カイニュウホリュウチュウ</t>
    </rPh>
    <phoneticPr fontId="1"/>
  </si>
  <si>
    <t>介入可　　　</t>
    <rPh sb="0" eb="2">
      <t>カイニュウ</t>
    </rPh>
    <rPh sb="2" eb="3">
      <t>カ</t>
    </rPh>
    <phoneticPr fontId="1"/>
  </si>
  <si>
    <t>本人様が拒否（悪性膵内分泌腫瘍(癌末)、IgA血管炎）</t>
    <phoneticPr fontId="1"/>
  </si>
  <si>
    <t>介入可否 ※1</t>
    <rPh sb="0" eb="2">
      <t>カイニュウ</t>
    </rPh>
    <rPh sb="2" eb="4">
      <t>カヒ</t>
    </rPh>
    <phoneticPr fontId="1"/>
  </si>
  <si>
    <t>※1 介入可否欄の選択肢の説明</t>
    <phoneticPr fontId="1"/>
  </si>
  <si>
    <t>※1 介入可否欄の選択肢の説明</t>
    <rPh sb="3" eb="5">
      <t>カイニュウ</t>
    </rPh>
    <rPh sb="5" eb="7">
      <t>カヒ</t>
    </rPh>
    <rPh sb="7" eb="8">
      <t>ラン</t>
    </rPh>
    <rPh sb="9" eb="12">
      <t>センタクシ</t>
    </rPh>
    <rPh sb="13" eb="15">
      <t>セツメイ</t>
    </rPh>
    <phoneticPr fontId="1"/>
  </si>
  <si>
    <t>施設名</t>
    <rPh sb="0" eb="3">
      <t>シセツメイ</t>
    </rPh>
    <phoneticPr fontId="1"/>
  </si>
  <si>
    <t>依頼数</t>
    <rPh sb="0" eb="3">
      <t>イライスウ</t>
    </rPh>
    <phoneticPr fontId="1"/>
  </si>
  <si>
    <t>介入不可数</t>
    <rPh sb="4" eb="5">
      <t>スウ</t>
    </rPh>
    <phoneticPr fontId="1"/>
  </si>
  <si>
    <t>介入不可率</t>
    <phoneticPr fontId="1"/>
  </si>
  <si>
    <t>いしが在宅</t>
    <phoneticPr fontId="1"/>
  </si>
  <si>
    <t>しろやま居宅</t>
    <phoneticPr fontId="1"/>
  </si>
  <si>
    <t>三重県立総合医療センター</t>
    <phoneticPr fontId="1"/>
  </si>
  <si>
    <t>かすみの里</t>
    <phoneticPr fontId="1"/>
  </si>
  <si>
    <t>施設別依頼数・介入不可率</t>
    <rPh sb="0" eb="3">
      <t>シセツベツ</t>
    </rPh>
    <rPh sb="3" eb="6">
      <t>イライスウ</t>
    </rPh>
    <rPh sb="7" eb="12">
      <t>カイニュウフカリツ</t>
    </rPh>
    <phoneticPr fontId="1"/>
  </si>
  <si>
    <t>保険別依頼件数</t>
    <rPh sb="0" eb="3">
      <t>ホケンベツ</t>
    </rPh>
    <rPh sb="3" eb="7">
      <t>イライケンスウ</t>
    </rPh>
    <phoneticPr fontId="1"/>
  </si>
  <si>
    <t>STにて言葉の明瞭さの向上等希望</t>
    <rPh sb="13" eb="14">
      <t>トウ</t>
    </rPh>
    <phoneticPr fontId="1"/>
  </si>
  <si>
    <t>天カ須賀在介</t>
    <phoneticPr fontId="1"/>
  </si>
  <si>
    <t>統合失調症</t>
  </si>
  <si>
    <t>肺炎疑いで明日より点滴で介入予定</t>
  </si>
  <si>
    <t>奥様が朝、夕に導尿する予定ではあるが週1回NSに来てもらってオムツ交換などのレクチャーを受けたい
リハビリはPTメインで月に1回STも入れて欲しい</t>
    <phoneticPr fontId="1"/>
  </si>
  <si>
    <t>居宅わかば</t>
    <phoneticPr fontId="1"/>
  </si>
  <si>
    <t>胃腸炎にて食事摂取できない要介護2女性。イノラスのみどうにか摂れているが改善難しそう。とと内科山脇医師主治医。訪看入ったことはなく、主治医、家族が同意すれば指示書記載してもらい点滴などの対応お願いしたいとのこと。月曜日に再診なので任田ケアマネが主治医に打診し連絡きます。</t>
    <phoneticPr fontId="1"/>
  </si>
  <si>
    <t>ご本人が他の訪問看護の利用を決定されたため、本件は介入なし。</t>
    <rPh sb="4" eb="5">
      <t>ホカ</t>
    </rPh>
    <phoneticPr fontId="1"/>
  </si>
  <si>
    <t>ハピネスやさと</t>
    <phoneticPr fontId="1"/>
  </si>
  <si>
    <r>
      <rPr>
        <b/>
        <sz val="11"/>
        <color rgb="FFFF0000"/>
        <rFont val="游ゴシック"/>
        <family val="3"/>
        <charset val="128"/>
        <scheme val="minor"/>
      </rPr>
      <t>お試し：</t>
    </r>
    <r>
      <rPr>
        <sz val="11"/>
        <color theme="1"/>
        <rFont val="游ゴシック"/>
        <family val="2"/>
        <charset val="128"/>
        <scheme val="minor"/>
      </rPr>
      <t>リハビリ希望にて4月から週3回リハビリ介入予定</t>
    </r>
    <rPh sb="1" eb="2">
      <t>タメ</t>
    </rPh>
    <phoneticPr fontId="1"/>
  </si>
  <si>
    <t>総合心療センターひなが</t>
    <phoneticPr fontId="1"/>
  </si>
  <si>
    <t>川越町地域包括支援センター</t>
    <phoneticPr fontId="1"/>
  </si>
  <si>
    <t>イトーファーマシー</t>
    <phoneticPr fontId="1"/>
  </si>
  <si>
    <t>桜苑三聖</t>
    <phoneticPr fontId="1"/>
  </si>
  <si>
    <t>菜の花</t>
    <phoneticPr fontId="1"/>
  </si>
  <si>
    <t>多発性骨髄腫　　動きやすくなるように訪問リハビリを希望。4/9に事前訪問予定。</t>
    <phoneticPr fontId="1"/>
  </si>
  <si>
    <t>桜英水苑</t>
    <phoneticPr fontId="1"/>
  </si>
  <si>
    <t>50代の若年性認知症　拘縮予防のストレッチと立ち上がりなどの基本動作維持を希望。
火曜日と木曜日に医師会が入っているので月、水、金の夕方ごろの介入を希望されている。住所は朝明町のナーシングホームもも四日市のすぐそば。可能なら明日に担当者会議ありますので良ければ参加してほしい。
リハビリでは条件に合う空きは水曜日15:00~15:30のみ。
北の看護師さん空き状況と照らして折り返して連絡します。</t>
    <phoneticPr fontId="1"/>
  </si>
  <si>
    <t>フォーエバーライフ</t>
    <phoneticPr fontId="1"/>
  </si>
  <si>
    <t>Ｂａ挿入したため、Ｂａ交換は訪問看護でお願いしますと。介入回数は単位数足らず、２週間に１回の介入予定（２週間に１回でも少し実費で超過しますが、金銭的にも余裕があるのでＯＫとのこと）、今後のフォローはコバヤシ内科になるそうです。本日、筧ＣＭがコバヤシ内科に行かれるそうなので指示書を書いて頂き事務所まで郵送してくれます。また、同日に家族様ともお会いするので４月２４日がＢａ交換日となるので、訪問介入日になるように調整してくれることとなりました。チェックシートや保険証等はＦＡＸきます。</t>
    <phoneticPr fontId="1"/>
  </si>
  <si>
    <t>中咽頭がん 多発転移あり。
先月からいしが在宅介入しており歩くことが困難になってきておりエアマット導入。Baカテーテルこれから留置予定。
指示書は明日からの日付で書いて頂けるので家族様と日程調整します。</t>
    <phoneticPr fontId="1"/>
  </si>
  <si>
    <t>統合失調症にて入院中。退院後に介入して欲しい。</t>
    <phoneticPr fontId="1"/>
  </si>
  <si>
    <t>奥様と二人暮らしで、車椅子生活。下肢の機能低下のため入浴や状態観察等で週1程介入希望。</t>
    <phoneticPr fontId="1"/>
  </si>
  <si>
    <t>要支援1　　摘便・吸痰・摘便等で週1からスタート。今後点滴の介入になり、介入頻度も増えていく可能性あり</t>
    <rPh sb="0" eb="3">
      <t>ヨウシエン</t>
    </rPh>
    <phoneticPr fontId="1"/>
  </si>
  <si>
    <t>誤嚥性肺炎、認知症、高血圧、脳梗塞後　の疾患にて2018/10/22より訪問診療中の方。2024/4/26朝より発熱あり、誤嚥性肺炎の診断で加療開始。</t>
    <phoneticPr fontId="1"/>
  </si>
  <si>
    <t>昨年12月に点滴で介入した方。
肺炎疑い。食事摂取できず。点滴依頼あり。毎日介入予定。</t>
    <phoneticPr fontId="1"/>
  </si>
  <si>
    <t>桑名市総合医療センター</t>
    <phoneticPr fontId="1"/>
  </si>
  <si>
    <t>桑名市総合医療センターに5/14入院。球麻痺ありも歩行可。発声不可で筆談。嚥下はまだできるが、5/15にPEG造設予定。来週に本人息子様にPEG手技指導開始予定。1日1回PEGから栄養、1日2回経口摂取にしていく予定。
ENT後にPEG手技確認や入浴介助を含む毎日訪問の依頼。現在富田浜病院の通所リハビリ(ST)に通われており、今後通院厳しくなれば当社ST訪問リハビリに移行を視野に入れている。
来週に桑名総合医療センターで本人息子様と看護師にて顔合わせの予定。日にち詳細は来週電話あり。看護サマリーやチェックシートは顔合わせの前日までにFAXあり。</t>
    <phoneticPr fontId="1"/>
  </si>
  <si>
    <t>リハビリと看護師にて入浴介助希望
主治医は市立病院だが、近所のかかりつけ医から尿の出が悪いので訪看使うなら観察してもらったほうが良いと言われたとのこと。
以降の段取り担当から折り返すよう伝えてます。ご連絡お願いします。</t>
    <phoneticPr fontId="1"/>
  </si>
  <si>
    <t>市立四日市病院</t>
    <phoneticPr fontId="1"/>
  </si>
  <si>
    <t>北包括</t>
    <phoneticPr fontId="1"/>
  </si>
  <si>
    <t>【介護認定】要支援1。6月に再申請するので要介護にUPする可能性あり、その際はハピネス水谷CMが担当。
【疾患名】変形性腰椎症、腰部脊柱管狭窄症、変形性膝関節症、頚椎狭窄(浜田整形外科通院中)。高血圧、緑内障(高士医院通院中)
【家族背景】長男様が伊坂台在住しており時々来られる
【介入内容】全身状態観察、転倒による右手創傷処置(右側湾がすごく右側に倒れてしまう事多く転倒歴あり)、内服管理、清潔保持
【事前訪問】5/25(土)13:00決定。長男、北包括伊藤SW、ハピネス水谷CM同席
【指示書】浜田整形外科で書いてくれます。こちらから指示書依頼することになりました。</t>
    <phoneticPr fontId="1"/>
  </si>
  <si>
    <t>慢性腎不全、認知症、2型糖尿病</t>
    <phoneticPr fontId="1"/>
  </si>
  <si>
    <t>白内障と緑内障の疾患あり。病状悪化で転院</t>
    <phoneticPr fontId="1"/>
  </si>
  <si>
    <t>シリウス</t>
    <phoneticPr fontId="1"/>
  </si>
  <si>
    <t>医療保険と介護保険の併用はできないのと、この疾患で2ステーションが介入することは不可能</t>
    <phoneticPr fontId="1"/>
  </si>
  <si>
    <t>昭和29年3月5日
住所は朝日町。
6/1に膀胱癌で入院。OPE行い、ストマ増設。退院後のストマ管理、装具交換の手技指導で介入予定。
現在ストマにカテーテル挿入されている。6/10にカテーテル抜去予定。6/12以降退院予定。
装具交換は2日に1回交換。14時頃に交換。本人と奥様に指導しており、手技の獲得出来てきているとのこと。ADL自立しており、介護保険の申請しない。
別表8にあたり、医療保険で介入予定。
病院での顔合わせと、交換の手技確認して欲しいと希望あり、事前訪問調整中。6/10の15:00以降で訪問できること伝えてます。</t>
    <phoneticPr fontId="1"/>
  </si>
  <si>
    <t>アルコール依存症でみたき総合に入院中、中野町在住の方の新規依頼をするかもしれない。
現在要支援1、再認定中で6/14に再認定が下りる予定。</t>
    <phoneticPr fontId="1"/>
  </si>
  <si>
    <t>ブルーム</t>
    <phoneticPr fontId="1"/>
  </si>
  <si>
    <t>松寺町在住　29歳　男性　
軽度の知的障害あり、障がい者福祉医療費受給者証をお持ち
自主治医は心療ひながの森Dr　同院のトリゴエ様が相談担当との事。
松本様から契約日を確認し再度お電話頂けるとの事。</t>
    <phoneticPr fontId="1"/>
  </si>
  <si>
    <t>89歳女性。山分町在住で独居の方。ADLは自立。HTNで村上ファミリークリニック通院中。時々血圧200台ありフラフラになりクリニックに降圧剤点滴をしに来院される。朝のみジルムロ1錠処方されているが内服管理できていなかったり内服を紛失したりすること多く血圧コントロール不良。処方は7日分ずつ血圧値みながら処方しているとのこと。6/29に内服紛失のためクリニックで再処方もらいに行く予定。内服管理と全身状態の観察含め週1回、介護保険での介入依頼。木金はヘルパー利用。
指示書は村上ファミリークリニックが書いてくれます。7/1〜介護認定再申請するため介護度がUPする見込み。
7/2(火)の10時半or13時半で調整してますので折り返し連絡きます。チェックシートはfaxきます。</t>
    <phoneticPr fontId="1"/>
  </si>
  <si>
    <t>本日より3日間点滴指示あり。
点滴物品受け取りと指示書の原本お渡しのため、午前中とと内科に行き、詳細情報収集予定。</t>
    <phoneticPr fontId="1"/>
  </si>
  <si>
    <t>COPD
HOT使用中。
週二回の状態観察依頼。</t>
    <phoneticPr fontId="1"/>
  </si>
  <si>
    <t>背中や腰からの影響で、足に痺れがあり歩きづらい。また、両手先の痺れや痛みが強く、生活がしづらい。左手は手術を受け、痛みは改善したが痺れは残ったまま。リハビリを受けて、手や足の動きを良くしたい。動作しやすい環境にしたい。</t>
    <phoneticPr fontId="1"/>
  </si>
  <si>
    <t>菰野聖十字</t>
    <phoneticPr fontId="1"/>
  </si>
  <si>
    <t>要介護1。週2回お風呂、週1回リハビリで介入希望</t>
    <phoneticPr fontId="1"/>
  </si>
  <si>
    <t>ヴィラ四日市</t>
    <phoneticPr fontId="1"/>
  </si>
  <si>
    <t>（以前北ができる直前に訪問入っていた方）
7/16コロナ陽性7/20か7/21までの朝昼夕の食事介助と清潔保持など依頼あり指示書7/16から記載して頂けるかCMにて確認中。確定次第やり取りして本日夕から介入予定。</t>
    <phoneticPr fontId="1"/>
  </si>
  <si>
    <t>とと内科</t>
    <phoneticPr fontId="1"/>
  </si>
  <si>
    <t>ご家族がデイサービス利用すると判断し訪看不要との事。</t>
    <rPh sb="1" eb="3">
      <t>カゾク</t>
    </rPh>
    <rPh sb="10" eb="12">
      <t>リヨウ</t>
    </rPh>
    <rPh sb="15" eb="17">
      <t>ハンダン</t>
    </rPh>
    <rPh sb="18" eb="20">
      <t>ホウカン</t>
    </rPh>
    <rPh sb="20" eb="22">
      <t>フヨウ</t>
    </rPh>
    <rPh sb="24" eb="25">
      <t>コト</t>
    </rPh>
    <phoneticPr fontId="1"/>
  </si>
  <si>
    <t>哺乳不良・経鼻・酸素あり、週三回ほどNS＆STで介入希望。
来週退院予定。退院カンファに来て欲しい。訪問の最初は西村町に言って欲しいが
しばらくすると実家である東員町に戻る予定の為、それからは東員町に訪問して欲しい。</t>
    <phoneticPr fontId="1"/>
  </si>
  <si>
    <t>86歳男性　要支援1 薬管理、健康管理、生存確認など週一程度の訪問で。
7/29北包括と契約するので以降に再度連絡あり。</t>
    <phoneticPr fontId="1"/>
  </si>
  <si>
    <t>くも膜下出血で入院中、近く退院予定。訪問リハビリ希望。
サマリーをFAX下さるので、その後看護師から折り返すとお伝え。
（現状、退院カンファしない方針との事）</t>
    <phoneticPr fontId="1"/>
  </si>
  <si>
    <t>住所：四日市市平津新町260-109
介入目的：導尿・摘便・適宜浣腸 等　　　主治医：いしが在宅　森Dr
介入日程：特指示で明日から毎日入って欲しい。</t>
    <phoneticPr fontId="1"/>
  </si>
  <si>
    <t>介入内容：バルン交換</t>
    <phoneticPr fontId="1"/>
  </si>
  <si>
    <t>8/8からひとまず1週間、毎日点滴その後状況によっては継続介入（15:30～で介入可能と説明）</t>
    <phoneticPr fontId="1"/>
  </si>
  <si>
    <t>要支援2 独居のため今後服薬管理、体調管理目的の訪問を家族が希望。主治医　山中胃腸科・小児科　山中医師　まだ訪問使うことを打診してないため先生の許可降り次第手続きしていく。また電話頂けます。</t>
    <phoneticPr fontId="1"/>
  </si>
  <si>
    <t>S14.02.26  85歳男性
介護保険新規申請中
慢性心不全、慢性腎不全にて市立四日市病院に通院されていたがADL低下にて通院困難。食思不振、腎機能悪化みられるが透析等の導入はしない。全身状態観察、服薬指導、保清目的で8/28より介入となる。</t>
    <phoneticPr fontId="1"/>
  </si>
  <si>
    <t>S11.2.29  88歳女性
要支援2(R6/8/26〜区変)
膠原病
リウマチ・強皮症
高血圧
低ナトリウム症
できるだけ在宅生活をしたいと思っているので、訪問看護希望。</t>
    <phoneticPr fontId="1"/>
  </si>
  <si>
    <t>△</t>
  </si>
  <si>
    <t>居宅スイート</t>
    <phoneticPr fontId="1"/>
  </si>
  <si>
    <t>しらゆりケア</t>
    <phoneticPr fontId="1"/>
  </si>
  <si>
    <t>あかつき台在住 妻と2人暮らし
川村信夫(かわむら のぶお)様
89歳 男性 要支援2
体調悪く、本日デイサービスから帰宅。心不全増悪しており臨時往診し点滴投与。10/11 10:30に往診予定。点滴継続の場合は特指示。点滴なしの場合は週一での介入依頼。</t>
    <phoneticPr fontId="1"/>
  </si>
  <si>
    <t>たけなり</t>
    <phoneticPr fontId="1"/>
  </si>
  <si>
    <t>肛門筋融解で現在市立四日市病院に入院中（今週末退院予定）
11月～NSとリハ各週1ずつ介入希望。候補日は月水金のいづれか、同日に2回介入もOK</t>
    <phoneticPr fontId="1"/>
  </si>
  <si>
    <t>ヒラツカ ユキオ90歳男性
脊柱管狭窄症にて痺れや歩きにくさがあり11月よりリハビリ希望あり
(小林主任確認し、リハビリは水曜日 水谷PTで調整して頂きました)</t>
    <phoneticPr fontId="1"/>
  </si>
  <si>
    <t>中野町在住。69歳女性。乳癌転移ターミナル。入浴や自己導尿が難しくなってきておりそろそろ訪問看護を利用していきたいとの事。
現在、放射線治療目的で1週間医療センターに入院中。最終的にはホスピス利用予定。それまでの間に訪問看護予定。
再度、中CMから連絡が来ます。</t>
    <phoneticPr fontId="1"/>
  </si>
  <si>
    <t>オオゼキ　ユウコ様より新規依頼
お母様の訪問看護を希望
訪問先富田の為、四日市北から連絡お願いします。
09035574443</t>
    <phoneticPr fontId="1"/>
  </si>
  <si>
    <t>利用者の家族</t>
    <phoneticPr fontId="1"/>
  </si>
  <si>
    <t>・毎月1回第2火曜日の入浴
・毎週土曜日17:00〜の食事介助とトイレ誘導。いずれもⅠ-3で介入依頼。
受けます。大腸がん検診で引っかかりポリープ切除しましたが今後は癌がどうなるか不明ですのでいずれは癌末になる可能性もあり。小児麻痺で60後半なのでいずれは施設も考慮。</t>
    <phoneticPr fontId="1"/>
  </si>
  <si>
    <t>採血の結果、内服で治療できそうとのことで、訪問看護導入は見送り</t>
    <phoneticPr fontId="1"/>
  </si>
  <si>
    <t>朝明町在住の方
イチカワ ジュンコ
67歳 女性
旦那様と2人暮らし
疾患名 もやもや病、脳出血後後遺症
誤嚥性肺炎にて
11/25 羽津医療センター入院
11/26 ENT
入院前はモモのショート利用されていた。入院後に施設すすめるも在宅を強く希望。
ADL全介助。ラコールPEGから注入。旦那様が経口摂取させてしまうため誤嚥性肺炎を繰り返す。旦那様とモモとの間で揉め事があり、モモには依頼できずしらゆりに依頼という経緯。
11/26〜12/9まで特指示
11/27より訪問調整します</t>
    <phoneticPr fontId="1"/>
  </si>
  <si>
    <t>諧朋苑</t>
    <phoneticPr fontId="1"/>
  </si>
  <si>
    <t>11/22に腰椎圧迫骨折となり寝たきり。それまで自転車で出かけられる位ADLは自立されていた。
本日14:00より契約、初回介入となる。指示書は本日付でいしが在宅森医師より発行されます。</t>
    <phoneticPr fontId="1"/>
  </si>
  <si>
    <t>S41.2.19　５９歳
四日市市高見台１丁目１５－５
管内胆管がん→在宅希望
２３日カンファ
２４日退院予定→訪問看護希望
酸素3ℓ入っている
折り返し連絡おねがいします。
059-354-1111</t>
    <phoneticPr fontId="1"/>
  </si>
  <si>
    <t>84歳 男性
大矢知町在住
妻と2人暮らし
大理石病
ADLは寝たきり
仙骨部褥瘡あり
全身状態観察と保清と褥瘡処置依頼
12/23-特指示発行
毎日入ってほしいとのこと</t>
    <phoneticPr fontId="1"/>
  </si>
  <si>
    <t>直腸がんでストマ増設。
中1日の交換をしている。
入院中で12/29ENT予定。
12/25、12/27でストマ交換予定。
12/27の際に、手技に不安あれば訪問依頼の電話再度あり</t>
    <phoneticPr fontId="1"/>
  </si>
  <si>
    <t>なでしこの家</t>
    <phoneticPr fontId="1"/>
  </si>
  <si>
    <t>かげのは在宅ケアセンター</t>
  </si>
  <si>
    <t>白峰ヶ丘ケアプラン</t>
  </si>
  <si>
    <t>いしかげ訪問サポート</t>
  </si>
  <si>
    <t>南条市総合ヘルス医療センター</t>
  </si>
  <si>
    <t>森ノ根ホームケア</t>
  </si>
  <si>
    <t>霞野の里ケアサービス</t>
  </si>
  <si>
    <t>居宅サポート わかな</t>
  </si>
  <si>
    <t>天ヶ杜在宅ケアステーション</t>
  </si>
  <si>
    <t>桜苑みづき</t>
  </si>
  <si>
    <t>菜野かほり</t>
  </si>
  <si>
    <t>ハーモニアやさと</t>
  </si>
  <si>
    <t>総合メンタルケアセンター ひなぎ</t>
  </si>
  <si>
    <t>羽根町くらし包括支援センター</t>
  </si>
  <si>
    <t>イトウファーマリンク</t>
  </si>
  <si>
    <t>市立南条中央病院</t>
  </si>
  <si>
    <t>桜英みずき苑</t>
  </si>
  <si>
    <t>フォーエバーライフケア</t>
  </si>
  <si>
    <t>シグナス訪問ケア</t>
  </si>
  <si>
    <t>桑名市総合ヘルス医療センター</t>
  </si>
  <si>
    <t>北ウェルフェアセンター</t>
  </si>
  <si>
    <t>ブルーミングケア</t>
  </si>
  <si>
    <t>ととクリニック</t>
  </si>
  <si>
    <t>菰野セイント十字ケア</t>
  </si>
  <si>
    <t>ヴィラ四条南</t>
  </si>
  <si>
    <t>居宅ケア スウィート</t>
  </si>
  <si>
    <t>しらゆりケアリンク</t>
  </si>
  <si>
    <t>たけのねケアプラン</t>
  </si>
  <si>
    <t>ご利用者ご家族支援窓口</t>
  </si>
  <si>
    <t>諧朋苑ケアサポート</t>
  </si>
  <si>
    <t>なでしこの家ケアステーション</t>
  </si>
  <si>
    <t>あ山 え男様</t>
  </si>
  <si>
    <t>く田 ぬ介CM</t>
  </si>
  <si>
    <t>そ川 う斗NS</t>
  </si>
  <si>
    <t>み森 け真様</t>
  </si>
  <si>
    <t>ら原 す郎NS</t>
  </si>
  <si>
    <t>ぬ林 も大様</t>
  </si>
  <si>
    <t>け野 ひ臣CM</t>
  </si>
  <si>
    <t>ち坂 る希CM</t>
  </si>
  <si>
    <t>り松 ね馬CM</t>
  </si>
  <si>
    <t>も谷 せ修Dr</t>
  </si>
  <si>
    <t>ひ山 う也様</t>
  </si>
  <si>
    <t>す川 き誠CM</t>
  </si>
  <si>
    <t>な沢 み翔CM</t>
  </si>
  <si>
    <t>う森 つ慎CM</t>
  </si>
  <si>
    <t>よ橋 ほ雅様</t>
  </si>
  <si>
    <t>へ野 ら心CM</t>
  </si>
  <si>
    <t>か山 え斗Dr</t>
  </si>
  <si>
    <t>と村 し史様</t>
  </si>
  <si>
    <t>ば田 ふ誠CM</t>
  </si>
  <si>
    <t>め木 せ陽Dr</t>
  </si>
  <si>
    <t>る川 さ斗様</t>
  </si>
  <si>
    <t>も田 る優CM</t>
  </si>
  <si>
    <t>み谷 ぬ斗Dr</t>
  </si>
  <si>
    <t>れ島 し真CM</t>
  </si>
  <si>
    <t>た川 こ也様</t>
  </si>
  <si>
    <t>ち林 み隼CM</t>
  </si>
  <si>
    <t>の森 へ介様</t>
  </si>
  <si>
    <t>さ坂 ぬ志CM</t>
  </si>
  <si>
    <t>え川 う悟NS</t>
  </si>
  <si>
    <t>ろ原 け斗Dr</t>
  </si>
  <si>
    <t>ぬ田 ま久CM</t>
  </si>
  <si>
    <t>わ野 り士様</t>
  </si>
  <si>
    <t>そ山 え翔CM</t>
  </si>
  <si>
    <t>れ松 き介様</t>
  </si>
  <si>
    <t>す井 ぬ臣CM</t>
  </si>
  <si>
    <t>つ木 み真Dr</t>
  </si>
  <si>
    <t>は林 せ平様</t>
  </si>
  <si>
    <t>よ水 ね織CM</t>
  </si>
  <si>
    <t>う崎 そ太NS</t>
  </si>
  <si>
    <t>め野 ぬ一様</t>
  </si>
  <si>
    <t>は藤 そ大様</t>
  </si>
  <si>
    <t>ほ谷 へ斗SW</t>
  </si>
  <si>
    <t>け島 み斗NS</t>
  </si>
  <si>
    <t>あ藤 け也様</t>
  </si>
  <si>
    <t>す沢 つ士様</t>
  </si>
  <si>
    <t>わ松 ぬ心CM</t>
  </si>
  <si>
    <t>ね藤 る也様</t>
  </si>
  <si>
    <t>れ田 み章CM</t>
  </si>
  <si>
    <t>そ口 せ人CM</t>
  </si>
  <si>
    <t>と垣 ほ志CM</t>
  </si>
  <si>
    <t>る城 み斗CM</t>
  </si>
  <si>
    <t>ま西 る介様</t>
  </si>
  <si>
    <t>ね村 し誠CM</t>
  </si>
  <si>
    <t>ふ木 り優様</t>
  </si>
  <si>
    <t>え川 た士様</t>
  </si>
  <si>
    <t>わ沢 う修Dr</t>
  </si>
  <si>
    <t>け田 そ悟CM</t>
  </si>
  <si>
    <t>り室 ね成CM</t>
  </si>
  <si>
    <t>ふ川 つ樹様</t>
  </si>
  <si>
    <t>み野 す雅Dr</t>
  </si>
  <si>
    <t>そ林 え臣CM</t>
  </si>
  <si>
    <t>う岩 い真CM</t>
  </si>
  <si>
    <t>を谷 ぬ真CM</t>
  </si>
  <si>
    <t>ひ森 そ斗様</t>
  </si>
  <si>
    <t>ぬ条 けNS</t>
  </si>
  <si>
    <t>は尾 き慎CM</t>
  </si>
  <si>
    <t>か達 す翔CM</t>
  </si>
  <si>
    <t>た宝 う斗Dr</t>
  </si>
  <si>
    <t>の口 け志CM</t>
  </si>
  <si>
    <t>い比 そ吾CM</t>
  </si>
  <si>
    <t>む科 ち真CM</t>
  </si>
  <si>
    <t>め渕 ふ花様</t>
  </si>
  <si>
    <t>を流 う翼CM</t>
  </si>
  <si>
    <t>き見 み治Dr</t>
  </si>
  <si>
    <t>れ坂 そ悟CM</t>
  </si>
  <si>
    <t>の見 う真NS</t>
  </si>
  <si>
    <t>へ野 そ真CM</t>
  </si>
  <si>
    <t>み子 え大Dr</t>
  </si>
  <si>
    <t>け出 い心様</t>
  </si>
  <si>
    <t>Q田 R斗</t>
  </si>
  <si>
    <t>A森 K也</t>
  </si>
  <si>
    <t>Z川 Y樹</t>
  </si>
  <si>
    <t>K崎 H太</t>
  </si>
  <si>
    <t>B峰 D斗</t>
  </si>
  <si>
    <t>M林 A介</t>
  </si>
  <si>
    <t>L田 P太</t>
  </si>
  <si>
    <t>S坂 V斗</t>
  </si>
  <si>
    <t>G田 C</t>
  </si>
  <si>
    <t>N森 Z太</t>
  </si>
  <si>
    <t>D山 E太</t>
  </si>
  <si>
    <t>X田 H斗</t>
  </si>
  <si>
    <t>P木 M</t>
  </si>
  <si>
    <t>H森 Y</t>
  </si>
  <si>
    <t>W川 K郎</t>
  </si>
  <si>
    <t>E谷 J海</t>
  </si>
  <si>
    <t>Y田 T介</t>
  </si>
  <si>
    <t>R藤 S太</t>
  </si>
  <si>
    <t>U田 F人</t>
  </si>
  <si>
    <t>T林 N</t>
  </si>
  <si>
    <t>C木 X介</t>
  </si>
  <si>
    <t>J田 D太</t>
  </si>
  <si>
    <t>F谷 B人</t>
  </si>
  <si>
    <t>O林 R太</t>
  </si>
  <si>
    <t>V杉 Q</t>
  </si>
  <si>
    <t>I川 G</t>
  </si>
  <si>
    <t>K田 Z太</t>
  </si>
  <si>
    <t>M崎 B介</t>
  </si>
  <si>
    <t>S田 P介</t>
  </si>
  <si>
    <t>G藤 C太</t>
  </si>
  <si>
    <t>Q川 L海</t>
  </si>
  <si>
    <t>A野 W斗</t>
  </si>
  <si>
    <t>Z田 K介</t>
  </si>
  <si>
    <t>B島 H史</t>
  </si>
  <si>
    <t>T森 Y太</t>
  </si>
  <si>
    <t>P井 F斗</t>
  </si>
  <si>
    <t>D杉 U介</t>
  </si>
  <si>
    <t>L藤 R介</t>
  </si>
  <si>
    <t>Y山 A介</t>
  </si>
  <si>
    <t>E口 J介</t>
  </si>
  <si>
    <t>X田 H樹</t>
  </si>
  <si>
    <t>H川 C樹</t>
  </si>
  <si>
    <t>C島 W太</t>
  </si>
  <si>
    <t>F谷 K介</t>
  </si>
  <si>
    <t>N田 Z樹</t>
  </si>
  <si>
    <t>O林 D海</t>
  </si>
  <si>
    <t>V島 S太</t>
  </si>
  <si>
    <t>I山 M介</t>
  </si>
  <si>
    <t>K田 T樹</t>
  </si>
  <si>
    <t>M島 R人</t>
  </si>
  <si>
    <t>S藤 A介</t>
  </si>
  <si>
    <t>G上 Y太</t>
  </si>
  <si>
    <t>Q林 W斗</t>
  </si>
  <si>
    <t>A杉 J也</t>
  </si>
  <si>
    <t>Z上 P郎</t>
  </si>
  <si>
    <t>B田 K斗</t>
  </si>
  <si>
    <t>T崎 R太</t>
  </si>
  <si>
    <t>P川 N太</t>
  </si>
  <si>
    <t>D田 F海</t>
  </si>
  <si>
    <t>L藤 V介</t>
  </si>
  <si>
    <t>Y上 Z斗</t>
  </si>
  <si>
    <t>E沢 S太</t>
  </si>
  <si>
    <t>X林 G介</t>
  </si>
  <si>
    <t>H藤 K介</t>
  </si>
  <si>
    <t>C島 Y斗</t>
  </si>
  <si>
    <t>F田 R海</t>
  </si>
  <si>
    <t>N田 D介</t>
  </si>
  <si>
    <t>O山 T太</t>
  </si>
  <si>
    <t>V上 M人</t>
  </si>
  <si>
    <t>I林 A太</t>
  </si>
  <si>
    <t>K森 P太</t>
  </si>
  <si>
    <t>M沢 Z也</t>
  </si>
  <si>
    <t>S田 E介</t>
  </si>
  <si>
    <t>G田 V斗</t>
  </si>
  <si>
    <t>Q林 C樹</t>
  </si>
  <si>
    <t>A川 B人</t>
  </si>
  <si>
    <t>Z田 K翔</t>
  </si>
  <si>
    <t>B島 D也</t>
  </si>
  <si>
    <t>T谷 F太</t>
  </si>
  <si>
    <t>診療機関：いが在宅　竹Dr　　病名：2型糖尿病、多発性脳梗塞
週2で摘便等での介入希望。</t>
    <phoneticPr fontId="1"/>
  </si>
  <si>
    <t>ご利用者様がみた総合病院への入院を希望した</t>
    <rPh sb="1" eb="5">
      <t>リヨウシャサマ</t>
    </rPh>
    <rPh sb="8" eb="10">
      <t>ソウゴウ</t>
    </rPh>
    <rPh sb="10" eb="12">
      <t>ビョウイン</t>
    </rPh>
    <rPh sb="14" eb="16">
      <t>ニュウイン</t>
    </rPh>
    <rPh sb="17" eb="19">
      <t>キボウ</t>
    </rPh>
    <phoneticPr fontId="1"/>
  </si>
  <si>
    <r>
      <rPr>
        <b/>
        <sz val="11"/>
        <color rgb="FFFF0000"/>
        <rFont val="游ゴシック"/>
        <family val="3"/>
        <charset val="128"/>
        <scheme val="minor"/>
      </rPr>
      <t>チラシ見て依頼</t>
    </r>
    <r>
      <rPr>
        <sz val="11"/>
        <color theme="1"/>
        <rFont val="游ゴシック"/>
        <family val="2"/>
        <charset val="128"/>
        <scheme val="minor"/>
      </rPr>
      <t>：男性　83歳　四日市市在住　
診療機関：みたきクリニック　　病名：高血圧・心不全 等　　　　
筋力低下あり、移動や動作を自分でできるようにしたい</t>
    </r>
    <rPh sb="3" eb="4">
      <t>ミ</t>
    </rPh>
    <rPh sb="5" eb="7">
      <t>イライ</t>
    </rPh>
    <phoneticPr fontId="1"/>
  </si>
  <si>
    <t>市立入院中。在宅環境整えばENT。退院前カンファ開催予定です（日時未定）</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</si>
</sst>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sz val="11"/>
      <name val="游ゴシック"/>
      <family val="2"/>
      <charset val="128"/>
      <scheme val="minor"/>
    </font>
    <font>
      <sz val="11"/>
      <color rgb="FF111827"/>
      <name val="游ゴシック"/>
      <family val="3"/>
      <charset val="128"/>
      <scheme val="minor"/>
    </font>
    <font>
      <sz val="11"/>
      <color rgb="FFFF0000"/>
      <name val="游ゴシック"/>
      <family val="2"/>
      <charset val="128"/>
      <scheme val="minor"/>
    </font>
    <font>
      <sz val="11"/>
      <name val="游ゴシック"/>
      <family val="3"/>
      <charset val="128"/>
      <scheme val="minor"/>
    </font>
    <font>
      <b/>
      <sz val="11"/>
      <color rgb="FFFF0000"/>
      <name val="游ゴシック"/>
      <family val="3"/>
      <charset val="128"/>
      <scheme val="minor"/>
    </font>
    <font>
      <sz val="11"/>
      <color theme="1"/>
      <name val="游ゴシック"/>
      <family val="3"/>
      <charset val="128"/>
      <scheme val="minor"/>
    </font>
  </fonts>
  <fills count="1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style="thin">
        <color auto="1"/>
      </top>
      <bottom/>
      <diagonal/>
    </border>
    <border>
      <left/>
      <right style="thin">
        <color auto="1"/>
      </right>
      <top style="medium">
        <color indexed="64"/>
      </top>
      <bottom style="medium">
        <color indexed="64"/>
      </bottom>
      <diagonal/>
    </border>
  </borders>
  <cellStyleXfs count="1">
    <xf numFmtId="0" fontId="0" fillId="0" borderId="0">
      <alignment vertical="center"/>
    </xf>
  </cellStyleXfs>
  <cellXfs count="88">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5" xfId="0" applyBorder="1">
      <alignment vertical="center"/>
    </xf>
    <xf numFmtId="0" fontId="0" fillId="0" borderId="4"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2" xfId="0" applyBorder="1">
      <alignment vertical="center"/>
    </xf>
    <xf numFmtId="0" fontId="0" fillId="0" borderId="18" xfId="0" applyBorder="1">
      <alignment vertical="center"/>
    </xf>
    <xf numFmtId="0" fontId="0" fillId="0" borderId="24" xfId="0" applyBorder="1">
      <alignment vertical="center"/>
    </xf>
    <xf numFmtId="0" fontId="0" fillId="0" borderId="25" xfId="0" applyBorder="1">
      <alignment vertical="center"/>
    </xf>
    <xf numFmtId="0" fontId="0" fillId="3" borderId="19" xfId="0" applyFill="1" applyBorder="1">
      <alignment vertical="center"/>
    </xf>
    <xf numFmtId="0" fontId="0" fillId="3" borderId="20" xfId="0" applyFill="1" applyBorder="1">
      <alignment vertical="center"/>
    </xf>
    <xf numFmtId="0" fontId="0" fillId="3" borderId="7" xfId="0" applyFill="1" applyBorder="1">
      <alignment vertical="center"/>
    </xf>
    <xf numFmtId="0" fontId="0" fillId="3" borderId="14" xfId="0" applyFill="1" applyBorder="1">
      <alignment vertical="center"/>
    </xf>
    <xf numFmtId="0" fontId="0" fillId="10" borderId="16" xfId="0" applyFill="1" applyBorder="1">
      <alignment vertical="center"/>
    </xf>
    <xf numFmtId="0" fontId="0" fillId="10" borderId="17" xfId="0" applyFill="1" applyBorder="1">
      <alignment vertical="center"/>
    </xf>
    <xf numFmtId="0" fontId="0" fillId="10" borderId="7" xfId="0" applyFill="1" applyBorder="1">
      <alignment vertical="center"/>
    </xf>
    <xf numFmtId="0" fontId="0" fillId="9" borderId="26" xfId="0" applyFill="1" applyBorder="1">
      <alignment vertical="center"/>
    </xf>
    <xf numFmtId="0" fontId="2" fillId="9" borderId="27" xfId="0" applyFont="1" applyFill="1" applyBorder="1">
      <alignment vertical="center"/>
    </xf>
    <xf numFmtId="0" fontId="0" fillId="9" borderId="28" xfId="0" applyFill="1" applyBorder="1">
      <alignment vertical="center"/>
    </xf>
    <xf numFmtId="9" fontId="3" fillId="0" borderId="8" xfId="0" applyNumberFormat="1" applyFont="1" applyBorder="1">
      <alignment vertical="center"/>
    </xf>
    <xf numFmtId="9" fontId="0" fillId="0" borderId="18" xfId="0" applyNumberFormat="1" applyBorder="1">
      <alignment vertical="center"/>
    </xf>
    <xf numFmtId="0" fontId="0" fillId="12" borderId="6" xfId="0" applyFill="1" applyBorder="1">
      <alignment vertical="center"/>
    </xf>
    <xf numFmtId="0" fontId="0" fillId="12" borderId="7" xfId="0" applyFill="1" applyBorder="1">
      <alignment vertical="center"/>
    </xf>
    <xf numFmtId="0" fontId="0" fillId="12" borderId="8" xfId="0" applyFill="1" applyBorder="1">
      <alignment vertical="center"/>
    </xf>
    <xf numFmtId="9" fontId="0" fillId="0" borderId="29" xfId="0" applyNumberFormat="1" applyBorder="1">
      <alignment vertical="center"/>
    </xf>
    <xf numFmtId="0" fontId="0" fillId="8" borderId="30" xfId="0" applyFill="1" applyBorder="1">
      <alignment vertical="center"/>
    </xf>
    <xf numFmtId="0" fontId="0" fillId="0" borderId="31" xfId="0" applyBorder="1">
      <alignment vertical="center"/>
    </xf>
    <xf numFmtId="0" fontId="0" fillId="0" borderId="31" xfId="0" applyBorder="1" applyAlignment="1">
      <alignment vertical="center" wrapText="1"/>
    </xf>
    <xf numFmtId="0" fontId="4" fillId="0" borderId="31" xfId="0" applyFont="1" applyBorder="1">
      <alignment vertical="center"/>
    </xf>
    <xf numFmtId="0" fontId="0" fillId="0" borderId="32" xfId="0" applyBorder="1">
      <alignment vertical="center"/>
    </xf>
    <xf numFmtId="0" fontId="0" fillId="4" borderId="34" xfId="0" applyFill="1" applyBorder="1">
      <alignment vertical="center"/>
    </xf>
    <xf numFmtId="0" fontId="0" fillId="5" borderId="34" xfId="0" applyFill="1" applyBorder="1">
      <alignment vertical="center"/>
    </xf>
    <xf numFmtId="0" fontId="0" fillId="6" borderId="34" xfId="0" applyFill="1" applyBorder="1">
      <alignment vertical="center"/>
    </xf>
    <xf numFmtId="0" fontId="0" fillId="7" borderId="34" xfId="0" applyFill="1" applyBorder="1">
      <alignment vertical="center"/>
    </xf>
    <xf numFmtId="0" fontId="0" fillId="8" borderId="34" xfId="0" applyFill="1" applyBorder="1">
      <alignment vertical="center"/>
    </xf>
    <xf numFmtId="0" fontId="0" fillId="10" borderId="35" xfId="0" applyFill="1" applyBorder="1">
      <alignment vertical="center"/>
    </xf>
    <xf numFmtId="0" fontId="0" fillId="0" borderId="36" xfId="0" applyBorder="1">
      <alignment vertical="center"/>
    </xf>
    <xf numFmtId="0" fontId="0" fillId="11" borderId="1" xfId="0" applyFill="1" applyBorder="1">
      <alignment vertical="center"/>
    </xf>
    <xf numFmtId="0" fontId="0" fillId="13" borderId="1" xfId="0" applyFill="1" applyBorder="1">
      <alignment vertical="center"/>
    </xf>
    <xf numFmtId="0" fontId="0" fillId="2" borderId="33" xfId="0" applyFill="1" applyBorder="1">
      <alignment vertical="center"/>
    </xf>
    <xf numFmtId="0" fontId="0" fillId="3" borderId="37" xfId="0" applyFill="1" applyBorder="1">
      <alignment vertical="center"/>
    </xf>
    <xf numFmtId="0" fontId="0" fillId="0" borderId="27" xfId="0" applyBorder="1">
      <alignment vertical="center"/>
    </xf>
    <xf numFmtId="0" fontId="0" fillId="0" borderId="28" xfId="0" applyBorder="1">
      <alignment vertical="center"/>
    </xf>
    <xf numFmtId="14" fontId="0" fillId="0" borderId="15" xfId="0" applyNumberFormat="1" applyBorder="1">
      <alignment vertical="center"/>
    </xf>
    <xf numFmtId="0" fontId="0" fillId="3" borderId="34" xfId="0" applyFill="1" applyBorder="1">
      <alignment vertical="center"/>
    </xf>
    <xf numFmtId="14" fontId="0" fillId="0" borderId="26" xfId="0" applyNumberFormat="1" applyBorder="1">
      <alignment vertical="center"/>
    </xf>
    <xf numFmtId="14" fontId="0" fillId="0" borderId="4" xfId="0" applyNumberFormat="1" applyBorder="1">
      <alignment vertical="center"/>
    </xf>
    <xf numFmtId="0" fontId="0" fillId="14" borderId="19" xfId="0" applyFill="1" applyBorder="1">
      <alignment vertical="center"/>
    </xf>
    <xf numFmtId="0" fontId="0" fillId="14" borderId="20" xfId="0" applyFill="1" applyBorder="1">
      <alignment vertical="center"/>
    </xf>
    <xf numFmtId="0" fontId="0" fillId="14" borderId="29" xfId="0" applyFill="1" applyBorder="1">
      <alignment vertical="center"/>
    </xf>
    <xf numFmtId="14" fontId="0" fillId="0" borderId="24" xfId="0" applyNumberFormat="1" applyBorder="1">
      <alignment vertical="center"/>
    </xf>
    <xf numFmtId="0" fontId="0" fillId="0" borderId="1" xfId="0" applyBorder="1" applyAlignment="1">
      <alignment vertical="center" wrapText="1"/>
    </xf>
    <xf numFmtId="0" fontId="7" fillId="0" borderId="1" xfId="0" applyFont="1" applyBorder="1">
      <alignment vertical="center"/>
    </xf>
    <xf numFmtId="0" fontId="7" fillId="0" borderId="1" xfId="0" applyFont="1" applyBorder="1" applyAlignment="1">
      <alignment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9" borderId="21" xfId="0" applyFill="1" applyBorder="1" applyAlignment="1">
      <alignment horizontal="center" vertical="center"/>
    </xf>
    <xf numFmtId="0" fontId="0" fillId="9" borderId="22" xfId="0" applyFill="1" applyBorder="1" applyAlignment="1">
      <alignment horizontal="center" vertical="center"/>
    </xf>
    <xf numFmtId="0" fontId="0" fillId="9" borderId="23" xfId="0" applyFill="1" applyBorder="1"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10" borderId="11" xfId="0" applyFill="1" applyBorder="1" applyAlignment="1">
      <alignment horizontal="center" vertical="center"/>
    </xf>
    <xf numFmtId="9" fontId="0" fillId="11" borderId="3" xfId="0" applyNumberFormat="1" applyFill="1" applyBorder="1">
      <alignment vertical="center"/>
    </xf>
    <xf numFmtId="9" fontId="0" fillId="11" borderId="18" xfId="0" applyNumberFormat="1" applyFill="1" applyBorder="1">
      <alignment vertical="center"/>
    </xf>
    <xf numFmtId="0" fontId="0" fillId="10" borderId="13" xfId="0" applyFill="1" applyBorder="1">
      <alignment vertical="center"/>
    </xf>
    <xf numFmtId="0" fontId="0" fillId="10" borderId="14" xfId="0" applyFill="1" applyBorder="1">
      <alignment vertical="center"/>
    </xf>
    <xf numFmtId="9" fontId="0" fillId="0" borderId="3" xfId="0" applyNumberFormat="1" applyBorder="1">
      <alignment vertical="center"/>
    </xf>
    <xf numFmtId="9" fontId="0" fillId="0" borderId="18" xfId="0" applyNumberFormat="1" applyBorder="1">
      <alignment vertical="center"/>
    </xf>
    <xf numFmtId="9" fontId="0" fillId="0" borderId="1" xfId="0" applyNumberFormat="1" applyBorder="1">
      <alignment vertical="center"/>
    </xf>
    <xf numFmtId="9" fontId="0" fillId="0" borderId="5" xfId="0" applyNumberFormat="1" applyBorder="1">
      <alignment vertical="center"/>
    </xf>
    <xf numFmtId="9" fontId="0" fillId="0" borderId="7" xfId="0" applyNumberFormat="1" applyBorder="1">
      <alignment vertical="center"/>
    </xf>
    <xf numFmtId="9" fontId="0" fillId="0" borderId="8" xfId="0" applyNumberFormat="1" applyBorder="1">
      <alignment vertical="center"/>
    </xf>
    <xf numFmtId="0" fontId="0" fillId="14" borderId="26" xfId="0" applyFill="1" applyBorder="1" applyAlignment="1">
      <alignment horizontal="center" vertical="center"/>
    </xf>
    <xf numFmtId="0" fontId="0" fillId="14" borderId="27" xfId="0" applyFill="1" applyBorder="1" applyAlignment="1">
      <alignment horizontal="center" vertical="center"/>
    </xf>
    <xf numFmtId="0" fontId="0" fillId="14" borderId="28" xfId="0" applyFill="1" applyBorder="1" applyAlignment="1">
      <alignment horizontal="center" vertical="center"/>
    </xf>
    <xf numFmtId="0" fontId="2" fillId="12" borderId="9" xfId="0" applyFont="1" applyFill="1" applyBorder="1" applyAlignment="1">
      <alignment horizontal="center" vertical="center"/>
    </xf>
    <xf numFmtId="0" fontId="5" fillId="12" borderId="10" xfId="0" applyFont="1" applyFill="1" applyBorder="1" applyAlignment="1">
      <alignment horizontal="center" vertical="center"/>
    </xf>
    <xf numFmtId="0" fontId="5" fillId="12" borderId="11" xfId="0" applyFont="1" applyFill="1" applyBorder="1" applyAlignment="1">
      <alignment horizontal="center" vertical="center"/>
    </xf>
    <xf numFmtId="9" fontId="0" fillId="11" borderId="20" xfId="0" applyNumberFormat="1" applyFill="1" applyBorder="1">
      <alignment vertical="center"/>
    </xf>
    <xf numFmtId="9" fontId="0" fillId="11" borderId="29" xfId="0" applyNumberFormat="1"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86658-903D-42FC-92C5-9174913B56B9}">
  <sheetPr codeName="Sheet1"/>
  <dimension ref="A1:A8"/>
  <sheetViews>
    <sheetView workbookViewId="0">
      <selection activeCell="C2" sqref="C2"/>
    </sheetView>
  </sheetViews>
  <sheetFormatPr defaultRowHeight="17.75" x14ac:dyDescent="0.5"/>
  <cols>
    <col min="1" max="1" width="128.453125" customWidth="1"/>
  </cols>
  <sheetData>
    <row r="1" spans="1:1" ht="18.3" thickBot="1" x14ac:dyDescent="0.55000000000000004">
      <c r="A1" s="43"/>
    </row>
    <row r="2" spans="1:1" x14ac:dyDescent="0.5">
      <c r="A2" s="32" t="s">
        <v>59</v>
      </c>
    </row>
    <row r="3" spans="1:1" x14ac:dyDescent="0.5">
      <c r="A3" s="33" t="s">
        <v>44</v>
      </c>
    </row>
    <row r="4" spans="1:1" ht="52.8" customHeight="1" x14ac:dyDescent="0.5">
      <c r="A4" s="34" t="s">
        <v>56</v>
      </c>
    </row>
    <row r="5" spans="1:1" x14ac:dyDescent="0.5">
      <c r="A5" s="35" t="s">
        <v>45</v>
      </c>
    </row>
    <row r="6" spans="1:1" ht="36" customHeight="1" x14ac:dyDescent="0.5">
      <c r="A6" s="34" t="s">
        <v>47</v>
      </c>
    </row>
    <row r="7" spans="1:1" x14ac:dyDescent="0.5">
      <c r="A7" s="33" t="s">
        <v>46</v>
      </c>
    </row>
    <row r="8" spans="1:1" ht="18.3" thickBot="1" x14ac:dyDescent="0.55000000000000004">
      <c r="A8" s="36" t="s">
        <v>55</v>
      </c>
    </row>
  </sheetData>
  <sheetProtection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BC563-D891-416D-9274-C0F856883C0D}">
  <sheetPr codeName="Sheet3">
    <tabColor rgb="FFFFFF00"/>
  </sheetPr>
  <dimension ref="A1:R121"/>
  <sheetViews>
    <sheetView tabSelected="1" zoomScale="76" zoomScaleNormal="76" workbookViewId="0">
      <pane ySplit="1" topLeftCell="A2" activePane="bottomLeft" state="frozen"/>
      <selection pane="bottomLeft" activeCell="G20" sqref="G20"/>
    </sheetView>
  </sheetViews>
  <sheetFormatPr defaultRowHeight="17.75" x14ac:dyDescent="0.5"/>
  <cols>
    <col min="1" max="1" width="13.08984375" customWidth="1"/>
    <col min="2" max="2" width="30.6328125" customWidth="1"/>
    <col min="3" max="3" width="16.36328125" customWidth="1"/>
    <col min="4" max="4" width="19.453125" customWidth="1"/>
    <col min="5" max="5" width="11.08984375" customWidth="1"/>
    <col min="6" max="6" width="43.81640625" customWidth="1"/>
    <col min="7" max="7" width="48.26953125" customWidth="1"/>
    <col min="8" max="8" width="15.1796875" customWidth="1"/>
    <col min="10" max="10" width="23" customWidth="1"/>
    <col min="11" max="11" width="17.90625" customWidth="1"/>
    <col min="12" max="12" width="20.1796875" customWidth="1"/>
    <col min="13" max="13" width="12.26953125" customWidth="1"/>
    <col min="15" max="15" width="7.26953125" customWidth="1"/>
    <col min="16" max="16" width="6.7265625" customWidth="1"/>
    <col min="17" max="17" width="7.26953125" customWidth="1"/>
    <col min="18" max="18" width="13.08984375" customWidth="1"/>
  </cols>
  <sheetData>
    <row r="1" spans="1:18" ht="18.3" thickBot="1" x14ac:dyDescent="0.55000000000000004">
      <c r="A1" s="46" t="s">
        <v>0</v>
      </c>
      <c r="B1" s="47" t="s">
        <v>1</v>
      </c>
      <c r="C1" s="37" t="s">
        <v>2</v>
      </c>
      <c r="D1" s="38" t="s">
        <v>3</v>
      </c>
      <c r="E1" s="39" t="s">
        <v>65</v>
      </c>
      <c r="F1" s="40" t="s">
        <v>38</v>
      </c>
      <c r="G1" s="41" t="s">
        <v>4</v>
      </c>
      <c r="H1" s="42" t="s">
        <v>5</v>
      </c>
    </row>
    <row r="2" spans="1:18" ht="18.3" thickBot="1" x14ac:dyDescent="0.55000000000000004">
      <c r="A2" s="57">
        <v>45301</v>
      </c>
      <c r="B2" s="3" t="s">
        <v>156</v>
      </c>
      <c r="C2" s="3" t="s">
        <v>186</v>
      </c>
      <c r="D2" s="3" t="s">
        <v>265</v>
      </c>
      <c r="E2" s="3" t="s">
        <v>57</v>
      </c>
      <c r="F2" s="3" t="s">
        <v>26</v>
      </c>
      <c r="G2" s="3" t="s">
        <v>345</v>
      </c>
      <c r="H2" s="13" t="s">
        <v>8</v>
      </c>
      <c r="J2" s="64" t="s">
        <v>33</v>
      </c>
      <c r="K2" s="65"/>
      <c r="L2" s="66"/>
    </row>
    <row r="3" spans="1:18" x14ac:dyDescent="0.5">
      <c r="A3" s="50">
        <v>45307</v>
      </c>
      <c r="B3" s="1" t="s">
        <v>157</v>
      </c>
      <c r="C3" s="1" t="s">
        <v>187</v>
      </c>
      <c r="D3" s="1" t="s">
        <v>266</v>
      </c>
      <c r="E3" s="1" t="s">
        <v>58</v>
      </c>
      <c r="F3" s="1"/>
      <c r="G3" s="1"/>
      <c r="H3" s="4" t="s">
        <v>7</v>
      </c>
      <c r="J3" s="23" t="s">
        <v>37</v>
      </c>
      <c r="K3" s="24" t="s">
        <v>39</v>
      </c>
      <c r="L3" s="25" t="s">
        <v>40</v>
      </c>
    </row>
    <row r="4" spans="1:18" ht="18.3" thickBot="1" x14ac:dyDescent="0.55000000000000004">
      <c r="A4" s="50">
        <v>45310</v>
      </c>
      <c r="B4" s="1" t="s">
        <v>158</v>
      </c>
      <c r="C4" s="1" t="s">
        <v>188</v>
      </c>
      <c r="D4" s="1" t="s">
        <v>267</v>
      </c>
      <c r="E4" s="1" t="s">
        <v>57</v>
      </c>
      <c r="F4" s="1" t="s">
        <v>30</v>
      </c>
      <c r="G4" s="1" t="s">
        <v>64</v>
      </c>
      <c r="H4" s="4" t="s">
        <v>6</v>
      </c>
      <c r="J4" s="6">
        <f>COUNTA(A2:A120)</f>
        <v>79</v>
      </c>
      <c r="K4" s="7">
        <f>COUNTIF(E2:E120,"*×*")</f>
        <v>10</v>
      </c>
      <c r="L4" s="26">
        <f>IF(J4&lt;&gt;0, K4/J4, "-")</f>
        <v>0.12658227848101267</v>
      </c>
    </row>
    <row r="5" spans="1:18" ht="18.3" thickBot="1" x14ac:dyDescent="0.55000000000000004">
      <c r="A5" s="50">
        <v>45315</v>
      </c>
      <c r="B5" s="1" t="s">
        <v>159</v>
      </c>
      <c r="C5" s="1" t="s">
        <v>189</v>
      </c>
      <c r="D5" s="1" t="s">
        <v>268</v>
      </c>
      <c r="E5" s="1" t="s">
        <v>58</v>
      </c>
      <c r="F5" s="1"/>
      <c r="G5" s="1" t="s">
        <v>50</v>
      </c>
      <c r="H5" s="4" t="s">
        <v>6</v>
      </c>
    </row>
    <row r="6" spans="1:18" x14ac:dyDescent="0.5">
      <c r="A6" s="50">
        <v>45320</v>
      </c>
      <c r="B6" s="1" t="s">
        <v>158</v>
      </c>
      <c r="C6" s="1" t="s">
        <v>190</v>
      </c>
      <c r="D6" s="1" t="s">
        <v>269</v>
      </c>
      <c r="E6" s="1" t="s">
        <v>57</v>
      </c>
      <c r="F6" s="1" t="s">
        <v>26</v>
      </c>
      <c r="G6" s="1" t="s">
        <v>51</v>
      </c>
      <c r="H6" s="4" t="s">
        <v>6</v>
      </c>
      <c r="J6" s="61" t="s">
        <v>41</v>
      </c>
      <c r="K6" s="62"/>
      <c r="L6" s="62"/>
      <c r="M6" s="62"/>
      <c r="N6" s="63"/>
      <c r="P6" s="45" t="s">
        <v>67</v>
      </c>
      <c r="Q6" s="45"/>
      <c r="R6" s="45"/>
    </row>
    <row r="7" spans="1:18" ht="18.3" thickBot="1" x14ac:dyDescent="0.55000000000000004">
      <c r="A7" s="50">
        <v>45321</v>
      </c>
      <c r="B7" s="1" t="s">
        <v>160</v>
      </c>
      <c r="C7" s="1" t="s">
        <v>191</v>
      </c>
      <c r="D7" s="1" t="s">
        <v>270</v>
      </c>
      <c r="E7" s="1" t="s">
        <v>58</v>
      </c>
      <c r="F7" s="1"/>
      <c r="G7" s="1" t="s">
        <v>53</v>
      </c>
      <c r="H7" s="4" t="s">
        <v>7</v>
      </c>
      <c r="J7" s="16" t="s">
        <v>24</v>
      </c>
      <c r="K7" s="17" t="s">
        <v>23</v>
      </c>
      <c r="L7" s="17" t="s">
        <v>42</v>
      </c>
      <c r="M7" s="18" t="s">
        <v>41</v>
      </c>
      <c r="N7" s="19"/>
      <c r="P7" s="44" t="s">
        <v>32</v>
      </c>
      <c r="Q7" s="44" t="s">
        <v>63</v>
      </c>
      <c r="R7" s="1"/>
    </row>
    <row r="8" spans="1:18" x14ac:dyDescent="0.5">
      <c r="A8" s="50">
        <v>45324</v>
      </c>
      <c r="B8" s="1" t="s">
        <v>161</v>
      </c>
      <c r="C8" s="1" t="s">
        <v>192</v>
      </c>
      <c r="D8" s="1" t="s">
        <v>271</v>
      </c>
      <c r="E8" s="1" t="s">
        <v>58</v>
      </c>
      <c r="F8" s="1"/>
      <c r="G8" s="1" t="s">
        <v>54</v>
      </c>
      <c r="H8" s="4" t="s">
        <v>7</v>
      </c>
      <c r="J8" s="12" t="s">
        <v>11</v>
      </c>
      <c r="K8" s="3">
        <f>COUNTIFS($A$1:$A$100,"&gt;=2024/1/1",$A$1:$A$100,"&lt;=2024/1/31")</f>
        <v>6</v>
      </c>
      <c r="L8" s="3">
        <f>COUNTIFS($A$1:$A$100,"&gt;=2024/1/1",$A$1:$A$100,"&lt;=2024/1/31",$E$1:$E$100,"×")</f>
        <v>3</v>
      </c>
      <c r="M8" s="74">
        <f>IFERROR(L8/K8, "-")</f>
        <v>0.5</v>
      </c>
      <c r="N8" s="75"/>
      <c r="P8" s="1" t="s">
        <v>9</v>
      </c>
      <c r="Q8" s="1" t="s">
        <v>61</v>
      </c>
      <c r="R8" s="1"/>
    </row>
    <row r="9" spans="1:18" x14ac:dyDescent="0.5">
      <c r="A9" s="50">
        <v>45342</v>
      </c>
      <c r="B9" s="1" t="s">
        <v>162</v>
      </c>
      <c r="C9" s="1" t="s">
        <v>193</v>
      </c>
      <c r="D9" s="1" t="s">
        <v>272</v>
      </c>
      <c r="E9" s="1" t="s">
        <v>58</v>
      </c>
      <c r="F9" s="1"/>
      <c r="G9" s="1" t="s">
        <v>78</v>
      </c>
      <c r="H9" s="4" t="s">
        <v>7</v>
      </c>
      <c r="J9" s="5" t="s">
        <v>12</v>
      </c>
      <c r="K9" s="3">
        <f>COUNTIFS($A$1:$A$100,"&gt;=2024/2/1",$A$1:$A$100,"&lt;=2024/2/29")</f>
        <v>3</v>
      </c>
      <c r="L9" s="1">
        <f>COUNTIFS($A$1:$A$100,"&gt;=2024/2/1",$A$1:$A$100,"&lt;=2024/2/28",$E$1:$E$100,"×")</f>
        <v>0</v>
      </c>
      <c r="M9" s="76">
        <f t="shared" ref="M9:M19" si="0">IFERROR(L9/K9, "-")</f>
        <v>0</v>
      </c>
      <c r="N9" s="77"/>
      <c r="P9" s="1" t="s">
        <v>49</v>
      </c>
      <c r="Q9" s="1" t="s">
        <v>62</v>
      </c>
      <c r="R9" s="1"/>
    </row>
    <row r="10" spans="1:18" x14ac:dyDescent="0.5">
      <c r="A10" s="50">
        <v>45349</v>
      </c>
      <c r="B10" s="1" t="s">
        <v>163</v>
      </c>
      <c r="C10" s="1" t="s">
        <v>194</v>
      </c>
      <c r="D10" s="1" t="s">
        <v>273</v>
      </c>
      <c r="E10" s="1" t="s">
        <v>58</v>
      </c>
      <c r="F10" s="1"/>
      <c r="G10" s="1" t="s">
        <v>80</v>
      </c>
      <c r="H10" s="4" t="s">
        <v>6</v>
      </c>
      <c r="J10" s="5" t="s">
        <v>13</v>
      </c>
      <c r="K10" s="3">
        <f>COUNTIFS($A$1:$A$100,"&gt;=2024/3/1",$A$1:$A$100,"&lt;=2024/3/31")</f>
        <v>7</v>
      </c>
      <c r="L10" s="1">
        <f>COUNTIFS($A$1:$A$100,"&gt;=2024/3/1",$A$1:$A$100,"&lt;=2024/3/31",$E$1:$E$100,"×")</f>
        <v>1</v>
      </c>
      <c r="M10" s="76">
        <f t="shared" si="0"/>
        <v>0.14285714285714285</v>
      </c>
      <c r="N10" s="77"/>
    </row>
    <row r="11" spans="1:18" x14ac:dyDescent="0.5">
      <c r="A11" s="50">
        <v>45352</v>
      </c>
      <c r="B11" s="1" t="s">
        <v>158</v>
      </c>
      <c r="C11" s="1" t="s">
        <v>195</v>
      </c>
      <c r="D11" s="1" t="s">
        <v>274</v>
      </c>
      <c r="E11" s="1" t="s">
        <v>58</v>
      </c>
      <c r="F11" s="1"/>
      <c r="G11" s="1" t="s">
        <v>81</v>
      </c>
      <c r="H11" s="4" t="s">
        <v>6</v>
      </c>
      <c r="J11" s="5" t="s">
        <v>14</v>
      </c>
      <c r="K11" s="3">
        <f>COUNTIFS($A$1:$A$100,"&gt;=2024/4/1",$A$1:$A$100,"&lt;=2024/4/30")</f>
        <v>10</v>
      </c>
      <c r="L11" s="1">
        <f>COUNTIFS($A$1:$A$100,"&gt;=2024/4/1",$A$1:$A$100,"&lt;=2024/4/30",$E$1:$E$100,"×")</f>
        <v>0</v>
      </c>
      <c r="M11" s="76">
        <f t="shared" si="0"/>
        <v>0</v>
      </c>
      <c r="N11" s="77"/>
    </row>
    <row r="12" spans="1:18" ht="16.8" customHeight="1" x14ac:dyDescent="0.5">
      <c r="A12" s="57">
        <v>45356</v>
      </c>
      <c r="B12" s="1" t="s">
        <v>164</v>
      </c>
      <c r="C12" s="1" t="s">
        <v>196</v>
      </c>
      <c r="D12" s="1" t="s">
        <v>275</v>
      </c>
      <c r="E12" s="1" t="s">
        <v>58</v>
      </c>
      <c r="F12" s="1"/>
      <c r="G12" s="58" t="s">
        <v>82</v>
      </c>
      <c r="H12" s="4" t="s">
        <v>6</v>
      </c>
      <c r="J12" s="5" t="s">
        <v>15</v>
      </c>
      <c r="K12" s="1">
        <f>COUNTIFS($A$1:$A$100,"&gt;=2024/5/1",$A$1:$A$100,"&lt;=2024/5/31")</f>
        <v>7</v>
      </c>
      <c r="L12" s="1">
        <f>COUNTIFS($A$1:$A$100,"&gt;=2024/5/1",$A$1:$A$100,"&lt;=2024/5/31",$E$1:$E$100,"×")</f>
        <v>2</v>
      </c>
      <c r="M12" s="76">
        <f t="shared" si="0"/>
        <v>0.2857142857142857</v>
      </c>
      <c r="N12" s="77"/>
    </row>
    <row r="13" spans="1:18" ht="17.5" customHeight="1" x14ac:dyDescent="0.5">
      <c r="A13" s="50">
        <v>45357</v>
      </c>
      <c r="B13" s="1" t="s">
        <v>165</v>
      </c>
      <c r="C13" s="1" t="s">
        <v>197</v>
      </c>
      <c r="D13" s="1" t="s">
        <v>276</v>
      </c>
      <c r="E13" s="1" t="s">
        <v>57</v>
      </c>
      <c r="F13" s="1" t="s">
        <v>27</v>
      </c>
      <c r="G13" s="58" t="s">
        <v>85</v>
      </c>
      <c r="H13" s="4" t="s">
        <v>7</v>
      </c>
      <c r="J13" s="5" t="s">
        <v>16</v>
      </c>
      <c r="K13" s="1">
        <f>COUNTIFS($A$1:$A$100,"&gt;=2024/6/1",$A$1:$A$100,"&lt;=2024/6/30")</f>
        <v>4</v>
      </c>
      <c r="L13" s="1">
        <f>COUNTIFS($A$1:$A$100,"&gt;=2024/6/1",$A$1:$A$100,"&lt;=2024/6/31",$E$1:$E$100,"×")</f>
        <v>0</v>
      </c>
      <c r="M13" s="76">
        <f t="shared" si="0"/>
        <v>0</v>
      </c>
      <c r="N13" s="77"/>
    </row>
    <row r="14" spans="1:18" x14ac:dyDescent="0.5">
      <c r="A14" s="50">
        <v>45360</v>
      </c>
      <c r="B14" s="1" t="s">
        <v>165</v>
      </c>
      <c r="C14" s="1" t="s">
        <v>198</v>
      </c>
      <c r="D14" s="1" t="s">
        <v>277</v>
      </c>
      <c r="E14" s="1" t="s">
        <v>58</v>
      </c>
      <c r="F14" s="1"/>
      <c r="G14" s="1" t="s">
        <v>84</v>
      </c>
      <c r="H14" s="4" t="s">
        <v>6</v>
      </c>
      <c r="J14" s="5" t="s">
        <v>17</v>
      </c>
      <c r="K14" s="1">
        <f>COUNTIFS($A$1:$A$100,"&gt;=2024/7/1",$A$1:$A$100,"&lt;=2024/7/31")</f>
        <v>10</v>
      </c>
      <c r="L14" s="1">
        <f>COUNTIFS($A$1:$A$100,"&gt;=2024/7/1",$A$1:$A$100,"&lt;=2024/7/31",$E$1:$E$100,"×")</f>
        <v>1</v>
      </c>
      <c r="M14" s="76">
        <f t="shared" si="0"/>
        <v>0.1</v>
      </c>
      <c r="N14" s="77"/>
    </row>
    <row r="15" spans="1:18" x14ac:dyDescent="0.5">
      <c r="A15" s="50">
        <v>45365</v>
      </c>
      <c r="B15" s="1" t="s">
        <v>166</v>
      </c>
      <c r="C15" s="1" t="s">
        <v>199</v>
      </c>
      <c r="D15" s="1" t="s">
        <v>278</v>
      </c>
      <c r="E15" s="1" t="s">
        <v>58</v>
      </c>
      <c r="F15" s="1"/>
      <c r="G15" s="59" t="s">
        <v>87</v>
      </c>
      <c r="H15" s="4" t="s">
        <v>7</v>
      </c>
      <c r="J15" s="5" t="s">
        <v>18</v>
      </c>
      <c r="K15" s="1">
        <f>COUNTIFS($A$1:$A$100,"&gt;=2024/8/1",$A$1:$A$100,"&lt;=2024/8/31")</f>
        <v>6</v>
      </c>
      <c r="L15" s="1">
        <f>COUNTIFS($A$1:$A$100,"&gt;=2024/8/1",$A$1:$A$100,"&lt;=2024/8/31",$E$1:$E$100,"×")</f>
        <v>1</v>
      </c>
      <c r="M15" s="76">
        <f t="shared" si="0"/>
        <v>0.16666666666666666</v>
      </c>
      <c r="N15" s="77"/>
    </row>
    <row r="16" spans="1:18" x14ac:dyDescent="0.5">
      <c r="A16" s="50">
        <v>45369</v>
      </c>
      <c r="B16" s="1" t="s">
        <v>167</v>
      </c>
      <c r="C16" s="1" t="s">
        <v>200</v>
      </c>
      <c r="D16" s="1" t="s">
        <v>279</v>
      </c>
      <c r="E16" s="1" t="s">
        <v>58</v>
      </c>
      <c r="F16" s="1"/>
      <c r="G16" s="1"/>
      <c r="H16" s="4" t="s">
        <v>6</v>
      </c>
      <c r="J16" s="5" t="s">
        <v>19</v>
      </c>
      <c r="K16" s="1">
        <f>COUNTIFS($A$1:$A$100,"&gt;=2024/9/1",$A$1:$A$100,"&lt;=2024/9/30")</f>
        <v>5</v>
      </c>
      <c r="L16" s="1">
        <f>COUNTIFS($A$1:$A$100,"&gt;=2024/9/1",$A$1:$A$100,"&lt;=2024/9/30",$E$1:$E$100,"×")</f>
        <v>1</v>
      </c>
      <c r="M16" s="76">
        <f t="shared" si="0"/>
        <v>0.2</v>
      </c>
      <c r="N16" s="77"/>
    </row>
    <row r="17" spans="1:14" x14ac:dyDescent="0.5">
      <c r="A17" s="50">
        <v>45373</v>
      </c>
      <c r="B17" s="1" t="s">
        <v>168</v>
      </c>
      <c r="C17" s="1" t="s">
        <v>201</v>
      </c>
      <c r="D17" s="1" t="s">
        <v>280</v>
      </c>
      <c r="E17" s="1" t="s">
        <v>58</v>
      </c>
      <c r="F17" s="1"/>
      <c r="G17" s="1"/>
      <c r="H17" s="4" t="s">
        <v>7</v>
      </c>
      <c r="J17" s="5" t="s">
        <v>20</v>
      </c>
      <c r="K17" s="1">
        <f>COUNTIFS($A$1:$A$100,"&gt;=2024/10/1",$A$1:$A$100,"&lt;=2024/10/31")</f>
        <v>8</v>
      </c>
      <c r="L17" s="1">
        <f>COUNTIFS($A$1:$A$100,"&gt;=2024/9/1",$A$1:$A$100,"&lt;=2024/9/30",$E$1:$E$100,"×")</f>
        <v>1</v>
      </c>
      <c r="M17" s="76">
        <f t="shared" si="0"/>
        <v>0.125</v>
      </c>
      <c r="N17" s="77"/>
    </row>
    <row r="18" spans="1:14" ht="16.8" customHeight="1" x14ac:dyDescent="0.5">
      <c r="A18" s="50">
        <v>45383</v>
      </c>
      <c r="B18" s="1" t="s">
        <v>169</v>
      </c>
      <c r="C18" s="1" t="s">
        <v>202</v>
      </c>
      <c r="D18" s="1" t="s">
        <v>281</v>
      </c>
      <c r="E18" s="1" t="s">
        <v>58</v>
      </c>
      <c r="F18" s="1"/>
      <c r="G18" s="58" t="s">
        <v>95</v>
      </c>
      <c r="H18" s="4" t="s">
        <v>7</v>
      </c>
      <c r="J18" s="5" t="s">
        <v>21</v>
      </c>
      <c r="K18" s="1">
        <f>COUNTIFS($A$1:$A$100,"&gt;=2024/11/1",$A$1:$A$100,"&lt;=2024/11/30")</f>
        <v>4</v>
      </c>
      <c r="L18" s="1">
        <f>COUNTIFS($A$1:$A$100,"&gt;=2024/11/1",$A$1:$A$100,"&lt;=2024/11/30",$E$1:$E$100,"×")</f>
        <v>1</v>
      </c>
      <c r="M18" s="76">
        <f t="shared" si="0"/>
        <v>0.25</v>
      </c>
      <c r="N18" s="77"/>
    </row>
    <row r="19" spans="1:14" ht="18.3" thickBot="1" x14ac:dyDescent="0.55000000000000004">
      <c r="A19" s="50">
        <v>45385</v>
      </c>
      <c r="B19" s="1" t="s">
        <v>167</v>
      </c>
      <c r="C19" s="1" t="s">
        <v>203</v>
      </c>
      <c r="D19" s="1" t="s">
        <v>282</v>
      </c>
      <c r="E19" s="1" t="s">
        <v>58</v>
      </c>
      <c r="F19" s="1"/>
      <c r="G19" s="1" t="s">
        <v>99</v>
      </c>
      <c r="H19" s="4" t="s">
        <v>6</v>
      </c>
      <c r="J19" s="6" t="s">
        <v>22</v>
      </c>
      <c r="K19" s="7">
        <f>COUNTIFS($A$1:$A$100,"&gt;=2024/12/1",$A$1:$A$100,"&lt;=2024/12/31")</f>
        <v>9</v>
      </c>
      <c r="L19" s="7">
        <f>COUNTIFS($A$1:$A$100,"&gt;=2024/12/1",$A$1:$A$100,"&lt;=2024/12/31",$E$1:$E$100,"×")</f>
        <v>0</v>
      </c>
      <c r="M19" s="78">
        <f t="shared" si="0"/>
        <v>0</v>
      </c>
      <c r="N19" s="79"/>
    </row>
    <row r="20" spans="1:14" ht="18" customHeight="1" thickBot="1" x14ac:dyDescent="0.55000000000000004">
      <c r="A20" s="50">
        <v>45387</v>
      </c>
      <c r="B20" s="1" t="s">
        <v>170</v>
      </c>
      <c r="C20" s="1" t="s">
        <v>204</v>
      </c>
      <c r="D20" s="1" t="s">
        <v>283</v>
      </c>
      <c r="E20" s="1" t="s">
        <v>58</v>
      </c>
      <c r="F20" s="1"/>
      <c r="G20" s="1" t="s">
        <v>93</v>
      </c>
      <c r="H20" s="4" t="s">
        <v>7</v>
      </c>
    </row>
    <row r="21" spans="1:14" ht="16.25" customHeight="1" x14ac:dyDescent="0.5">
      <c r="A21" s="50">
        <v>45394</v>
      </c>
      <c r="B21" s="1" t="s">
        <v>171</v>
      </c>
      <c r="C21" s="1" t="s">
        <v>205</v>
      </c>
      <c r="D21" s="1" t="s">
        <v>284</v>
      </c>
      <c r="E21" s="1" t="s">
        <v>58</v>
      </c>
      <c r="F21" s="1"/>
      <c r="G21" s="60" t="s">
        <v>346</v>
      </c>
      <c r="H21" s="4" t="s">
        <v>7</v>
      </c>
      <c r="J21" s="67" t="s">
        <v>34</v>
      </c>
      <c r="K21" s="68"/>
      <c r="L21" s="68"/>
      <c r="M21" s="68"/>
      <c r="N21" s="69"/>
    </row>
    <row r="22" spans="1:14" ht="17.5" customHeight="1" thickBot="1" x14ac:dyDescent="0.55000000000000004">
      <c r="A22" s="50">
        <v>45394</v>
      </c>
      <c r="B22" s="1" t="s">
        <v>158</v>
      </c>
      <c r="C22" s="1" t="s">
        <v>206</v>
      </c>
      <c r="D22" s="1" t="s">
        <v>285</v>
      </c>
      <c r="E22" s="1" t="s">
        <v>58</v>
      </c>
      <c r="F22" s="1"/>
      <c r="G22" s="58" t="s">
        <v>344</v>
      </c>
      <c r="H22" s="4" t="s">
        <v>7</v>
      </c>
      <c r="J22" s="20" t="s">
        <v>25</v>
      </c>
      <c r="K22" s="21"/>
      <c r="L22" s="22" t="s">
        <v>31</v>
      </c>
      <c r="M22" s="72" t="s">
        <v>60</v>
      </c>
      <c r="N22" s="73"/>
    </row>
    <row r="23" spans="1:14" ht="16.8" customHeight="1" x14ac:dyDescent="0.5">
      <c r="A23" s="50">
        <v>45394</v>
      </c>
      <c r="B23" s="1" t="s">
        <v>158</v>
      </c>
      <c r="C23" s="1" t="s">
        <v>207</v>
      </c>
      <c r="D23" s="1" t="s">
        <v>286</v>
      </c>
      <c r="E23" s="1" t="s">
        <v>58</v>
      </c>
      <c r="F23" s="1"/>
      <c r="G23" s="58" t="s">
        <v>98</v>
      </c>
      <c r="H23" s="4" t="s">
        <v>6</v>
      </c>
      <c r="J23" s="14" t="s">
        <v>29</v>
      </c>
      <c r="K23" s="15"/>
      <c r="L23" s="3">
        <f>COUNTIF(F:F, "介入理由が無い、なくなった（症状改善等）")</f>
        <v>0</v>
      </c>
      <c r="M23" s="70">
        <f>IFERROR(L23/K$4, "-")</f>
        <v>0</v>
      </c>
      <c r="N23" s="71"/>
    </row>
    <row r="24" spans="1:14" x14ac:dyDescent="0.5">
      <c r="A24" s="50">
        <v>45397</v>
      </c>
      <c r="B24" s="1" t="s">
        <v>172</v>
      </c>
      <c r="C24" s="1" t="s">
        <v>208</v>
      </c>
      <c r="D24" s="1" t="s">
        <v>287</v>
      </c>
      <c r="E24" s="1" t="s">
        <v>58</v>
      </c>
      <c r="F24" s="1"/>
      <c r="G24" s="1" t="s">
        <v>97</v>
      </c>
      <c r="H24" s="4" t="s">
        <v>7</v>
      </c>
      <c r="J24" s="9" t="s">
        <v>30</v>
      </c>
      <c r="K24" s="2"/>
      <c r="L24" s="1">
        <f>COUNTIF(F:F, "介入に嫌悪・不安感（心理的ハードル）")</f>
        <v>1</v>
      </c>
      <c r="M24" s="70">
        <f t="shared" ref="M24:M27" si="1">IFERROR(L24/K$4, "-")</f>
        <v>0.1</v>
      </c>
      <c r="N24" s="71"/>
    </row>
    <row r="25" spans="1:14" x14ac:dyDescent="0.5">
      <c r="A25" s="50">
        <v>45404</v>
      </c>
      <c r="B25" s="1" t="s">
        <v>158</v>
      </c>
      <c r="C25" s="1" t="s">
        <v>209</v>
      </c>
      <c r="D25" s="1" t="s">
        <v>288</v>
      </c>
      <c r="E25" s="1" t="s">
        <v>58</v>
      </c>
      <c r="F25" s="1"/>
      <c r="G25" s="1" t="s">
        <v>100</v>
      </c>
      <c r="H25" s="4" t="s">
        <v>7</v>
      </c>
      <c r="J25" s="9" t="s">
        <v>26</v>
      </c>
      <c r="K25" s="2"/>
      <c r="L25" s="1">
        <f>COUNTIF(F:F, "入院・他施設への入居・ご逝去（不可抗力）")</f>
        <v>6</v>
      </c>
      <c r="M25" s="70">
        <f t="shared" si="1"/>
        <v>0.6</v>
      </c>
      <c r="N25" s="71"/>
    </row>
    <row r="26" spans="1:14" x14ac:dyDescent="0.5">
      <c r="A26" s="50">
        <v>45407</v>
      </c>
      <c r="B26" s="1" t="s">
        <v>158</v>
      </c>
      <c r="C26" s="1" t="s">
        <v>210</v>
      </c>
      <c r="D26" s="1" t="s">
        <v>289</v>
      </c>
      <c r="E26" s="1" t="s">
        <v>58</v>
      </c>
      <c r="F26" s="1"/>
      <c r="G26" s="1" t="s">
        <v>101</v>
      </c>
      <c r="H26" s="4" t="s">
        <v>7</v>
      </c>
      <c r="J26" s="9" t="s">
        <v>28</v>
      </c>
      <c r="K26" s="2"/>
      <c r="L26" s="1">
        <f>COUNTIF(F:F, "指示書を出してもらえず")</f>
        <v>0</v>
      </c>
      <c r="M26" s="70">
        <f t="shared" si="1"/>
        <v>0</v>
      </c>
      <c r="N26" s="71"/>
    </row>
    <row r="27" spans="1:14" ht="18.3" thickBot="1" x14ac:dyDescent="0.55000000000000004">
      <c r="A27" s="50">
        <v>45408</v>
      </c>
      <c r="B27" s="1" t="s">
        <v>158</v>
      </c>
      <c r="C27" s="1" t="s">
        <v>211</v>
      </c>
      <c r="D27" s="1" t="s">
        <v>290</v>
      </c>
      <c r="E27" s="1" t="s">
        <v>58</v>
      </c>
      <c r="F27" s="1"/>
      <c r="G27" s="1" t="s">
        <v>102</v>
      </c>
      <c r="H27" s="4" t="s">
        <v>6</v>
      </c>
      <c r="J27" s="10" t="s">
        <v>27</v>
      </c>
      <c r="K27" s="11"/>
      <c r="L27" s="7">
        <f>COUNTIF(F:F, "その他")</f>
        <v>2</v>
      </c>
      <c r="M27" s="86">
        <f t="shared" si="1"/>
        <v>0.2</v>
      </c>
      <c r="N27" s="87"/>
    </row>
    <row r="28" spans="1:14" ht="16.25" customHeight="1" thickBot="1" x14ac:dyDescent="0.55000000000000004">
      <c r="A28" s="50">
        <v>45422</v>
      </c>
      <c r="B28" s="1" t="s">
        <v>173</v>
      </c>
      <c r="C28" s="1" t="s">
        <v>212</v>
      </c>
      <c r="D28" s="1" t="s">
        <v>291</v>
      </c>
      <c r="E28" s="1" t="s">
        <v>57</v>
      </c>
      <c r="F28" s="1" t="s">
        <v>27</v>
      </c>
      <c r="G28" s="1" t="s">
        <v>113</v>
      </c>
      <c r="H28" s="4" t="s">
        <v>6</v>
      </c>
    </row>
    <row r="29" spans="1:14" ht="18" customHeight="1" x14ac:dyDescent="0.5">
      <c r="A29" s="50">
        <v>45425</v>
      </c>
      <c r="B29" s="1" t="s">
        <v>158</v>
      </c>
      <c r="C29" s="1" t="s">
        <v>213</v>
      </c>
      <c r="D29" s="1" t="s">
        <v>292</v>
      </c>
      <c r="E29" s="1" t="s">
        <v>58</v>
      </c>
      <c r="F29" s="1"/>
      <c r="G29" s="58" t="s">
        <v>103</v>
      </c>
      <c r="H29" s="4" t="s">
        <v>6</v>
      </c>
      <c r="J29" s="83" t="s">
        <v>77</v>
      </c>
      <c r="K29" s="84"/>
      <c r="L29" s="85"/>
    </row>
    <row r="30" spans="1:14" ht="19.25" customHeight="1" thickBot="1" x14ac:dyDescent="0.55000000000000004">
      <c r="A30" s="50">
        <v>45427</v>
      </c>
      <c r="B30" s="1" t="s">
        <v>174</v>
      </c>
      <c r="C30" s="1" t="s">
        <v>214</v>
      </c>
      <c r="D30" s="1" t="s">
        <v>293</v>
      </c>
      <c r="E30" s="1" t="s">
        <v>58</v>
      </c>
      <c r="F30" s="1"/>
      <c r="G30" s="58" t="s">
        <v>105</v>
      </c>
      <c r="H30" s="4" t="s">
        <v>6</v>
      </c>
      <c r="J30" s="28" t="s">
        <v>35</v>
      </c>
      <c r="K30" s="29" t="s">
        <v>31</v>
      </c>
      <c r="L30" s="30" t="s">
        <v>43</v>
      </c>
    </row>
    <row r="31" spans="1:14" ht="17.5" customHeight="1" x14ac:dyDescent="0.5">
      <c r="A31" s="50">
        <v>45432</v>
      </c>
      <c r="B31" s="1" t="s">
        <v>166</v>
      </c>
      <c r="C31" s="1" t="s">
        <v>215</v>
      </c>
      <c r="D31" s="1" t="s">
        <v>294</v>
      </c>
      <c r="E31" s="1" t="s">
        <v>58</v>
      </c>
      <c r="F31" s="1"/>
      <c r="G31" s="58" t="s">
        <v>106</v>
      </c>
      <c r="H31" s="4" t="s">
        <v>7</v>
      </c>
      <c r="J31" s="12" t="s">
        <v>6</v>
      </c>
      <c r="K31" s="3">
        <f>COUNTIF(H:H, "医療")</f>
        <v>38</v>
      </c>
      <c r="L31" s="27">
        <f>IFERROR(K31/J$4, "-")</f>
        <v>0.48101265822784811</v>
      </c>
    </row>
    <row r="32" spans="1:14" ht="18.55" customHeight="1" x14ac:dyDescent="0.5">
      <c r="A32" s="50">
        <v>45433</v>
      </c>
      <c r="B32" s="1" t="s">
        <v>170</v>
      </c>
      <c r="C32" s="1" t="s">
        <v>216</v>
      </c>
      <c r="D32" s="1" t="s">
        <v>295</v>
      </c>
      <c r="E32" s="1" t="s">
        <v>57</v>
      </c>
      <c r="F32" s="1" t="s">
        <v>26</v>
      </c>
      <c r="G32" s="58" t="s">
        <v>111</v>
      </c>
      <c r="H32" s="4" t="s">
        <v>6</v>
      </c>
      <c r="J32" s="5" t="s">
        <v>7</v>
      </c>
      <c r="K32" s="1">
        <f>COUNTIF(H:H, "介護")</f>
        <v>40</v>
      </c>
      <c r="L32" s="27">
        <f>IFERROR(K32/J$4, "-")</f>
        <v>0.50632911392405067</v>
      </c>
    </row>
    <row r="33" spans="1:13" ht="18.55" customHeight="1" x14ac:dyDescent="0.5">
      <c r="A33" s="50">
        <v>45434</v>
      </c>
      <c r="B33" s="1" t="s">
        <v>175</v>
      </c>
      <c r="C33" s="1" t="s">
        <v>217</v>
      </c>
      <c r="D33" s="1" t="s">
        <v>296</v>
      </c>
      <c r="E33" s="1" t="s">
        <v>58</v>
      </c>
      <c r="F33" s="1"/>
      <c r="G33" s="58" t="s">
        <v>109</v>
      </c>
      <c r="H33" s="4" t="s">
        <v>7</v>
      </c>
      <c r="J33" s="5" t="s">
        <v>36</v>
      </c>
      <c r="K33" s="1">
        <f>COUNTIF(H:H, "医・介")</f>
        <v>0</v>
      </c>
      <c r="L33" s="27">
        <f>IFERROR(K33/J$4, "-")</f>
        <v>0</v>
      </c>
    </row>
    <row r="34" spans="1:13" x14ac:dyDescent="0.5">
      <c r="A34" s="50">
        <v>45440</v>
      </c>
      <c r="B34" s="1" t="s">
        <v>158</v>
      </c>
      <c r="C34" s="1" t="s">
        <v>218</v>
      </c>
      <c r="D34" s="1" t="s">
        <v>297</v>
      </c>
      <c r="E34" s="1" t="s">
        <v>58</v>
      </c>
      <c r="F34" s="1"/>
      <c r="G34" s="1" t="s">
        <v>110</v>
      </c>
      <c r="H34" s="4" t="s">
        <v>7</v>
      </c>
      <c r="J34" s="5" t="s">
        <v>8</v>
      </c>
      <c r="K34" s="1">
        <f>COUNTIF(H:H, "不明")</f>
        <v>1</v>
      </c>
      <c r="L34" s="27">
        <f>IFERROR(K34/J$4, "-")</f>
        <v>1.2658227848101266E-2</v>
      </c>
    </row>
    <row r="35" spans="1:13" ht="19.25" customHeight="1" thickBot="1" x14ac:dyDescent="0.55000000000000004">
      <c r="A35" s="50">
        <v>45448</v>
      </c>
      <c r="B35" s="1" t="s">
        <v>170</v>
      </c>
      <c r="C35" s="1" t="s">
        <v>219</v>
      </c>
      <c r="D35" s="1" t="s">
        <v>298</v>
      </c>
      <c r="E35" s="1" t="s">
        <v>58</v>
      </c>
      <c r="F35" s="1"/>
      <c r="G35" s="58" t="s">
        <v>114</v>
      </c>
      <c r="H35" s="4" t="s">
        <v>6</v>
      </c>
      <c r="J35" s="6" t="s">
        <v>10</v>
      </c>
      <c r="K35" s="7">
        <f>COUNTIF(H:H, "自費")</f>
        <v>0</v>
      </c>
      <c r="L35" s="31">
        <f>IFERROR(K35/J$4, "-")</f>
        <v>0</v>
      </c>
    </row>
    <row r="36" spans="1:13" ht="19.25" customHeight="1" thickBot="1" x14ac:dyDescent="0.55000000000000004">
      <c r="A36" s="50">
        <v>45457</v>
      </c>
      <c r="B36" s="1" t="s">
        <v>175</v>
      </c>
      <c r="C36" s="1" t="s">
        <v>220</v>
      </c>
      <c r="D36" s="1" t="s">
        <v>299</v>
      </c>
      <c r="E36" s="1" t="s">
        <v>58</v>
      </c>
      <c r="F36" s="1"/>
      <c r="G36" s="58" t="s">
        <v>115</v>
      </c>
      <c r="H36" s="4" t="s">
        <v>7</v>
      </c>
    </row>
    <row r="37" spans="1:13" ht="20.45" customHeight="1" x14ac:dyDescent="0.5">
      <c r="A37" s="50">
        <v>45467</v>
      </c>
      <c r="B37" s="1" t="s">
        <v>176</v>
      </c>
      <c r="C37" s="1" t="s">
        <v>221</v>
      </c>
      <c r="D37" s="1" t="s">
        <v>300</v>
      </c>
      <c r="E37" s="1" t="s">
        <v>58</v>
      </c>
      <c r="F37" s="1"/>
      <c r="G37" s="58" t="s">
        <v>117</v>
      </c>
      <c r="H37" s="4" t="s">
        <v>6</v>
      </c>
      <c r="J37" s="80" t="s">
        <v>76</v>
      </c>
      <c r="K37" s="81"/>
      <c r="L37" s="81"/>
      <c r="M37" s="82"/>
    </row>
    <row r="38" spans="1:13" ht="19.75" customHeight="1" thickBot="1" x14ac:dyDescent="0.55000000000000004">
      <c r="A38" s="50">
        <v>45467</v>
      </c>
      <c r="B38" s="1" t="s">
        <v>175</v>
      </c>
      <c r="C38" s="1" t="s">
        <v>222</v>
      </c>
      <c r="D38" s="1" t="s">
        <v>301</v>
      </c>
      <c r="E38" s="1" t="s">
        <v>58</v>
      </c>
      <c r="F38" s="1"/>
      <c r="G38" s="58" t="s">
        <v>118</v>
      </c>
      <c r="H38" s="4" t="s">
        <v>6</v>
      </c>
      <c r="J38" s="54" t="s">
        <v>68</v>
      </c>
      <c r="K38" s="55" t="s">
        <v>69</v>
      </c>
      <c r="L38" s="55" t="s">
        <v>70</v>
      </c>
      <c r="M38" s="56" t="s">
        <v>71</v>
      </c>
    </row>
    <row r="39" spans="1:13" ht="19.25" customHeight="1" x14ac:dyDescent="0.5">
      <c r="A39" s="50">
        <v>45474</v>
      </c>
      <c r="B39" s="1" t="s">
        <v>177</v>
      </c>
      <c r="C39" s="1" t="s">
        <v>223</v>
      </c>
      <c r="D39" s="1" t="s">
        <v>302</v>
      </c>
      <c r="E39" s="1" t="s">
        <v>58</v>
      </c>
      <c r="F39" s="1"/>
      <c r="G39" s="58" t="s">
        <v>119</v>
      </c>
      <c r="H39" s="4" t="s">
        <v>6</v>
      </c>
      <c r="J39" s="12" t="s">
        <v>48</v>
      </c>
      <c r="K39" s="3">
        <v>1</v>
      </c>
      <c r="L39" s="3">
        <v>1</v>
      </c>
      <c r="M39" s="27">
        <f>IFERROR(L39/K39, "")</f>
        <v>1</v>
      </c>
    </row>
    <row r="40" spans="1:13" ht="19.75" customHeight="1" x14ac:dyDescent="0.5">
      <c r="A40" s="50">
        <v>45482</v>
      </c>
      <c r="B40" s="1" t="s">
        <v>158</v>
      </c>
      <c r="C40" s="1" t="s">
        <v>224</v>
      </c>
      <c r="D40" s="1" t="s">
        <v>303</v>
      </c>
      <c r="E40" s="1" t="s">
        <v>58</v>
      </c>
      <c r="F40" s="1"/>
      <c r="G40" s="58" t="s">
        <v>120</v>
      </c>
      <c r="H40" s="4" t="s">
        <v>7</v>
      </c>
      <c r="J40" s="5" t="s">
        <v>73</v>
      </c>
      <c r="K40" s="1">
        <v>1</v>
      </c>
      <c r="L40" s="1">
        <v>0</v>
      </c>
      <c r="M40" s="27">
        <f t="shared" ref="M40:M103" si="2">IFERROR(L40/K40, "")</f>
        <v>0</v>
      </c>
    </row>
    <row r="41" spans="1:13" ht="19.75" customHeight="1" x14ac:dyDescent="0.5">
      <c r="A41" s="50">
        <v>45484</v>
      </c>
      <c r="B41" s="1" t="s">
        <v>165</v>
      </c>
      <c r="C41" s="1" t="s">
        <v>225</v>
      </c>
      <c r="D41" s="1" t="s">
        <v>304</v>
      </c>
      <c r="E41" s="1" t="s">
        <v>58</v>
      </c>
      <c r="F41" s="1"/>
      <c r="G41" s="1" t="s">
        <v>121</v>
      </c>
      <c r="H41" s="4" t="s">
        <v>7</v>
      </c>
      <c r="J41" s="5" t="s">
        <v>72</v>
      </c>
      <c r="K41" s="1">
        <v>22</v>
      </c>
      <c r="L41" s="1">
        <v>3</v>
      </c>
      <c r="M41" s="27">
        <f t="shared" si="2"/>
        <v>0.13636363636363635</v>
      </c>
    </row>
    <row r="42" spans="1:13" x14ac:dyDescent="0.5">
      <c r="A42" s="50">
        <v>45485</v>
      </c>
      <c r="B42" s="1" t="s">
        <v>178</v>
      </c>
      <c r="C42" s="1" t="s">
        <v>226</v>
      </c>
      <c r="D42" s="1" t="s">
        <v>305</v>
      </c>
      <c r="E42" s="1" t="s">
        <v>58</v>
      </c>
      <c r="F42" s="1"/>
      <c r="G42" s="1" t="s">
        <v>123</v>
      </c>
      <c r="H42" s="4" t="s">
        <v>7</v>
      </c>
      <c r="J42" s="5" t="s">
        <v>74</v>
      </c>
      <c r="K42" s="1">
        <v>1</v>
      </c>
      <c r="L42" s="1">
        <v>0</v>
      </c>
      <c r="M42" s="27">
        <f t="shared" si="2"/>
        <v>0</v>
      </c>
    </row>
    <row r="43" spans="1:13" ht="20.45" customHeight="1" x14ac:dyDescent="0.5">
      <c r="A43" s="50">
        <v>45489</v>
      </c>
      <c r="B43" s="1" t="s">
        <v>179</v>
      </c>
      <c r="C43" s="1" t="s">
        <v>227</v>
      </c>
      <c r="D43" s="1" t="s">
        <v>306</v>
      </c>
      <c r="E43" s="1" t="s">
        <v>58</v>
      </c>
      <c r="F43" s="1"/>
      <c r="G43" s="58" t="s">
        <v>125</v>
      </c>
      <c r="H43" s="4" t="s">
        <v>6</v>
      </c>
      <c r="J43" s="5" t="s">
        <v>52</v>
      </c>
      <c r="K43" s="1">
        <v>1</v>
      </c>
      <c r="L43" s="1">
        <v>0</v>
      </c>
      <c r="M43" s="27">
        <f t="shared" si="2"/>
        <v>0</v>
      </c>
    </row>
    <row r="44" spans="1:13" x14ac:dyDescent="0.5">
      <c r="A44" s="50">
        <v>45491</v>
      </c>
      <c r="B44" s="1" t="s">
        <v>178</v>
      </c>
      <c r="C44" s="1" t="s">
        <v>228</v>
      </c>
      <c r="D44" s="1" t="s">
        <v>307</v>
      </c>
      <c r="E44" s="1" t="s">
        <v>57</v>
      </c>
      <c r="F44" s="1" t="s">
        <v>26</v>
      </c>
      <c r="G44" s="1" t="s">
        <v>127</v>
      </c>
      <c r="H44" s="4" t="s">
        <v>7</v>
      </c>
      <c r="J44" s="5" t="s">
        <v>75</v>
      </c>
      <c r="K44" s="1">
        <v>1</v>
      </c>
      <c r="L44" s="1">
        <v>0</v>
      </c>
      <c r="M44" s="27">
        <f t="shared" si="2"/>
        <v>0</v>
      </c>
    </row>
    <row r="45" spans="1:13" ht="20.95" customHeight="1" x14ac:dyDescent="0.5">
      <c r="A45" s="50">
        <v>45492</v>
      </c>
      <c r="B45" s="1" t="s">
        <v>170</v>
      </c>
      <c r="C45" s="1" t="s">
        <v>229</v>
      </c>
      <c r="D45" s="1" t="s">
        <v>308</v>
      </c>
      <c r="E45" s="1" t="s">
        <v>58</v>
      </c>
      <c r="F45" s="1"/>
      <c r="G45" s="58" t="s">
        <v>128</v>
      </c>
      <c r="H45" s="4" t="s">
        <v>6</v>
      </c>
      <c r="J45" s="5" t="s">
        <v>83</v>
      </c>
      <c r="K45" s="1">
        <v>1</v>
      </c>
      <c r="L45" s="1">
        <v>0</v>
      </c>
      <c r="M45" s="27">
        <f t="shared" si="2"/>
        <v>0</v>
      </c>
    </row>
    <row r="46" spans="1:13" ht="20.45" customHeight="1" x14ac:dyDescent="0.5">
      <c r="A46" s="50">
        <v>45492</v>
      </c>
      <c r="B46" s="1" t="s">
        <v>166</v>
      </c>
      <c r="C46" s="1" t="s">
        <v>230</v>
      </c>
      <c r="D46" s="1" t="s">
        <v>309</v>
      </c>
      <c r="E46" s="1" t="s">
        <v>137</v>
      </c>
      <c r="F46" s="1"/>
      <c r="G46" s="58" t="s">
        <v>129</v>
      </c>
      <c r="H46" s="4" t="s">
        <v>7</v>
      </c>
      <c r="J46" s="5" t="s">
        <v>79</v>
      </c>
      <c r="K46" s="1">
        <v>1</v>
      </c>
      <c r="L46" s="1">
        <v>0</v>
      </c>
      <c r="M46" s="27">
        <f t="shared" si="2"/>
        <v>0</v>
      </c>
    </row>
    <row r="47" spans="1:13" ht="20.95" customHeight="1" x14ac:dyDescent="0.5">
      <c r="A47" s="50">
        <v>45496</v>
      </c>
      <c r="B47" s="1" t="s">
        <v>170</v>
      </c>
      <c r="C47" s="1" t="s">
        <v>231</v>
      </c>
      <c r="D47" s="1" t="s">
        <v>310</v>
      </c>
      <c r="E47" s="1" t="s">
        <v>58</v>
      </c>
      <c r="F47" s="1"/>
      <c r="G47" s="58" t="s">
        <v>130</v>
      </c>
      <c r="H47" s="4" t="s">
        <v>6</v>
      </c>
      <c r="J47" s="5" t="s">
        <v>91</v>
      </c>
      <c r="K47" s="1">
        <v>1</v>
      </c>
      <c r="L47" s="1">
        <v>0</v>
      </c>
      <c r="M47" s="27">
        <f t="shared" si="2"/>
        <v>0</v>
      </c>
    </row>
    <row r="48" spans="1:13" ht="19.25" customHeight="1" x14ac:dyDescent="0.5">
      <c r="A48" s="50">
        <v>45499</v>
      </c>
      <c r="B48" s="1" t="s">
        <v>158</v>
      </c>
      <c r="C48" s="1" t="s">
        <v>232</v>
      </c>
      <c r="D48" s="1" t="s">
        <v>311</v>
      </c>
      <c r="E48" s="1" t="s">
        <v>58</v>
      </c>
      <c r="F48" s="1"/>
      <c r="G48" s="58" t="s">
        <v>131</v>
      </c>
      <c r="H48" s="4" t="s">
        <v>6</v>
      </c>
      <c r="J48" s="5" t="s">
        <v>92</v>
      </c>
      <c r="K48" s="1">
        <v>4</v>
      </c>
      <c r="L48" s="1">
        <v>1</v>
      </c>
      <c r="M48" s="27">
        <f t="shared" si="2"/>
        <v>0.25</v>
      </c>
    </row>
    <row r="49" spans="1:13" x14ac:dyDescent="0.5">
      <c r="A49" s="50">
        <v>45509</v>
      </c>
      <c r="B49" s="1" t="s">
        <v>158</v>
      </c>
      <c r="C49" s="1" t="s">
        <v>233</v>
      </c>
      <c r="D49" s="1" t="s">
        <v>312</v>
      </c>
      <c r="E49" s="1" t="s">
        <v>58</v>
      </c>
      <c r="F49" s="1"/>
      <c r="G49" s="1" t="s">
        <v>132</v>
      </c>
      <c r="H49" s="4" t="s">
        <v>6</v>
      </c>
      <c r="J49" s="5" t="s">
        <v>86</v>
      </c>
      <c r="K49" s="1">
        <v>5</v>
      </c>
      <c r="L49" s="1">
        <v>1</v>
      </c>
      <c r="M49" s="27">
        <f t="shared" si="2"/>
        <v>0.2</v>
      </c>
    </row>
    <row r="50" spans="1:13" ht="17.5" customHeight="1" x14ac:dyDescent="0.5">
      <c r="A50" s="50">
        <v>45511</v>
      </c>
      <c r="B50" s="1" t="s">
        <v>166</v>
      </c>
      <c r="C50" s="1" t="s">
        <v>234</v>
      </c>
      <c r="D50" s="1" t="s">
        <v>313</v>
      </c>
      <c r="E50" s="1" t="s">
        <v>57</v>
      </c>
      <c r="F50" s="1" t="s">
        <v>26</v>
      </c>
      <c r="G50" s="1" t="s">
        <v>133</v>
      </c>
      <c r="H50" s="4" t="s">
        <v>7</v>
      </c>
      <c r="J50" s="5" t="s">
        <v>88</v>
      </c>
      <c r="K50" s="1">
        <v>3</v>
      </c>
      <c r="L50" s="1">
        <v>0</v>
      </c>
      <c r="M50" s="27">
        <f t="shared" si="2"/>
        <v>0</v>
      </c>
    </row>
    <row r="51" spans="1:13" x14ac:dyDescent="0.5">
      <c r="A51" s="50">
        <v>45512</v>
      </c>
      <c r="B51" s="1" t="s">
        <v>168</v>
      </c>
      <c r="C51" s="1" t="s">
        <v>235</v>
      </c>
      <c r="D51" s="1" t="s">
        <v>314</v>
      </c>
      <c r="E51" s="1" t="s">
        <v>58</v>
      </c>
      <c r="F51" s="1"/>
      <c r="G51" s="1" t="s">
        <v>134</v>
      </c>
      <c r="H51" s="4" t="s">
        <v>7</v>
      </c>
      <c r="J51" s="5" t="s">
        <v>89</v>
      </c>
      <c r="K51" s="1">
        <v>2</v>
      </c>
      <c r="L51" s="1">
        <v>0</v>
      </c>
      <c r="M51" s="27">
        <f t="shared" si="2"/>
        <v>0</v>
      </c>
    </row>
    <row r="52" spans="1:13" x14ac:dyDescent="0.5">
      <c r="A52" s="50">
        <v>45518</v>
      </c>
      <c r="B52" s="1" t="s">
        <v>158</v>
      </c>
      <c r="C52" s="1" t="s">
        <v>236</v>
      </c>
      <c r="D52" s="1" t="s">
        <v>315</v>
      </c>
      <c r="E52" s="1" t="s">
        <v>58</v>
      </c>
      <c r="F52" s="1"/>
      <c r="G52" s="1"/>
      <c r="H52" s="4" t="s">
        <v>6</v>
      </c>
      <c r="J52" s="5" t="s">
        <v>90</v>
      </c>
      <c r="K52" s="1">
        <v>1</v>
      </c>
      <c r="L52" s="1">
        <v>0</v>
      </c>
      <c r="M52" s="27">
        <f t="shared" si="2"/>
        <v>0</v>
      </c>
    </row>
    <row r="53" spans="1:13" ht="19.25" customHeight="1" x14ac:dyDescent="0.5">
      <c r="A53" s="50">
        <v>45531</v>
      </c>
      <c r="B53" s="1" t="s">
        <v>158</v>
      </c>
      <c r="C53" s="1" t="s">
        <v>237</v>
      </c>
      <c r="D53" s="1" t="s">
        <v>316</v>
      </c>
      <c r="E53" s="1" t="s">
        <v>58</v>
      </c>
      <c r="F53" s="1"/>
      <c r="G53" s="58" t="s">
        <v>135</v>
      </c>
      <c r="H53" s="4" t="s">
        <v>7</v>
      </c>
      <c r="J53" s="5" t="s">
        <v>107</v>
      </c>
      <c r="K53" s="1">
        <v>7</v>
      </c>
      <c r="L53" s="1">
        <v>1</v>
      </c>
      <c r="M53" s="27">
        <f t="shared" si="2"/>
        <v>0.14285714285714285</v>
      </c>
    </row>
    <row r="54" spans="1:13" ht="19.25" customHeight="1" x14ac:dyDescent="0.5">
      <c r="A54" s="50">
        <v>45534</v>
      </c>
      <c r="B54" s="1" t="s">
        <v>173</v>
      </c>
      <c r="C54" s="1" t="s">
        <v>238</v>
      </c>
      <c r="D54" s="1" t="s">
        <v>317</v>
      </c>
      <c r="E54" s="1" t="s">
        <v>58</v>
      </c>
      <c r="F54" s="1"/>
      <c r="G54" s="58" t="s">
        <v>136</v>
      </c>
      <c r="H54" s="4" t="s">
        <v>7</v>
      </c>
      <c r="J54" s="5" t="s">
        <v>94</v>
      </c>
      <c r="K54" s="1">
        <v>1</v>
      </c>
      <c r="L54" s="1">
        <v>0</v>
      </c>
      <c r="M54" s="27">
        <f t="shared" si="2"/>
        <v>0</v>
      </c>
    </row>
    <row r="55" spans="1:13" x14ac:dyDescent="0.5">
      <c r="A55" s="50">
        <v>45539</v>
      </c>
      <c r="B55" s="1" t="s">
        <v>180</v>
      </c>
      <c r="C55" s="1" t="s">
        <v>239</v>
      </c>
      <c r="D55" s="1" t="s">
        <v>318</v>
      </c>
      <c r="E55" s="1" t="s">
        <v>57</v>
      </c>
      <c r="F55" s="1" t="s">
        <v>26</v>
      </c>
      <c r="G55" s="1"/>
      <c r="H55" s="4" t="s">
        <v>7</v>
      </c>
      <c r="J55" s="5" t="s">
        <v>96</v>
      </c>
      <c r="K55" s="1">
        <v>1</v>
      </c>
      <c r="L55" s="1">
        <v>0</v>
      </c>
      <c r="M55" s="27">
        <f t="shared" si="2"/>
        <v>0</v>
      </c>
    </row>
    <row r="56" spans="1:13" x14ac:dyDescent="0.5">
      <c r="A56" s="50">
        <v>45540</v>
      </c>
      <c r="B56" s="1" t="s">
        <v>178</v>
      </c>
      <c r="C56" s="1" t="s">
        <v>240</v>
      </c>
      <c r="D56" s="1" t="s">
        <v>319</v>
      </c>
      <c r="E56" s="1" t="s">
        <v>58</v>
      </c>
      <c r="F56" s="1"/>
      <c r="G56" s="1"/>
      <c r="H56" s="4" t="s">
        <v>7</v>
      </c>
      <c r="J56" s="5" t="s">
        <v>112</v>
      </c>
      <c r="K56" s="1">
        <v>3</v>
      </c>
      <c r="L56" s="1">
        <v>1</v>
      </c>
      <c r="M56" s="27">
        <f t="shared" si="2"/>
        <v>0.33333333333333331</v>
      </c>
    </row>
    <row r="57" spans="1:13" x14ac:dyDescent="0.5">
      <c r="A57" s="50">
        <v>45545</v>
      </c>
      <c r="B57" s="1" t="s">
        <v>175</v>
      </c>
      <c r="C57" s="1" t="s">
        <v>241</v>
      </c>
      <c r="D57" s="1" t="s">
        <v>320</v>
      </c>
      <c r="E57" s="1" t="s">
        <v>58</v>
      </c>
      <c r="F57" s="1"/>
      <c r="G57" s="1"/>
      <c r="H57" s="4" t="s">
        <v>7</v>
      </c>
      <c r="J57" s="5" t="s">
        <v>104</v>
      </c>
      <c r="K57" s="1">
        <v>1</v>
      </c>
      <c r="L57" s="1">
        <v>0</v>
      </c>
      <c r="M57" s="27">
        <f t="shared" si="2"/>
        <v>0</v>
      </c>
    </row>
    <row r="58" spans="1:13" x14ac:dyDescent="0.5">
      <c r="A58" s="50">
        <v>45548</v>
      </c>
      <c r="B58" s="1" t="s">
        <v>158</v>
      </c>
      <c r="C58" s="1" t="s">
        <v>242</v>
      </c>
      <c r="D58" s="1" t="s">
        <v>321</v>
      </c>
      <c r="E58" s="1" t="s">
        <v>58</v>
      </c>
      <c r="F58" s="1"/>
      <c r="G58" s="1"/>
      <c r="H58" s="4" t="s">
        <v>6</v>
      </c>
      <c r="J58" s="5" t="s">
        <v>108</v>
      </c>
      <c r="K58" s="1">
        <v>8</v>
      </c>
      <c r="L58" s="1">
        <v>0</v>
      </c>
      <c r="M58" s="27">
        <f>IFERROR(L58/K58, "")</f>
        <v>0</v>
      </c>
    </row>
    <row r="59" spans="1:13" x14ac:dyDescent="0.5">
      <c r="A59" s="50">
        <v>45559</v>
      </c>
      <c r="B59" s="1" t="s">
        <v>173</v>
      </c>
      <c r="C59" s="1" t="s">
        <v>243</v>
      </c>
      <c r="D59" s="1" t="s">
        <v>322</v>
      </c>
      <c r="E59" s="1" t="s">
        <v>58</v>
      </c>
      <c r="F59" s="1"/>
      <c r="G59" s="1"/>
      <c r="H59" s="4" t="s">
        <v>7</v>
      </c>
      <c r="J59" s="5" t="s">
        <v>116</v>
      </c>
      <c r="K59" s="1">
        <v>1</v>
      </c>
      <c r="L59" s="1">
        <v>0</v>
      </c>
      <c r="M59" s="27">
        <f t="shared" si="2"/>
        <v>0</v>
      </c>
    </row>
    <row r="60" spans="1:13" x14ac:dyDescent="0.5">
      <c r="A60" s="50">
        <v>45574</v>
      </c>
      <c r="B60" s="1" t="s">
        <v>181</v>
      </c>
      <c r="C60" s="1" t="s">
        <v>244</v>
      </c>
      <c r="D60" s="1" t="s">
        <v>323</v>
      </c>
      <c r="E60" s="1" t="s">
        <v>58</v>
      </c>
      <c r="F60" s="1"/>
      <c r="G60" s="1" t="s">
        <v>347</v>
      </c>
      <c r="H60" s="4" t="s">
        <v>6</v>
      </c>
      <c r="J60" s="5" t="s">
        <v>126</v>
      </c>
      <c r="K60" s="1">
        <v>1</v>
      </c>
      <c r="L60" s="1">
        <v>0</v>
      </c>
      <c r="M60" s="27">
        <f t="shared" si="2"/>
        <v>0</v>
      </c>
    </row>
    <row r="61" spans="1:13" ht="16.8" customHeight="1" x14ac:dyDescent="0.5">
      <c r="A61" s="50">
        <v>45575</v>
      </c>
      <c r="B61" s="1" t="s">
        <v>158</v>
      </c>
      <c r="C61" s="1" t="s">
        <v>245</v>
      </c>
      <c r="D61" s="1" t="s">
        <v>324</v>
      </c>
      <c r="E61" s="1" t="s">
        <v>137</v>
      </c>
      <c r="F61" s="1"/>
      <c r="G61" s="58" t="s">
        <v>140</v>
      </c>
      <c r="H61" s="4" t="s">
        <v>6</v>
      </c>
      <c r="J61" s="5" t="s">
        <v>122</v>
      </c>
      <c r="K61" s="1">
        <v>3</v>
      </c>
      <c r="L61" s="1">
        <v>1</v>
      </c>
      <c r="M61" s="27">
        <f t="shared" si="2"/>
        <v>0.33333333333333331</v>
      </c>
    </row>
    <row r="62" spans="1:13" ht="19.25" customHeight="1" x14ac:dyDescent="0.5">
      <c r="A62" s="50">
        <v>45576</v>
      </c>
      <c r="B62" s="1" t="s">
        <v>182</v>
      </c>
      <c r="C62" s="1" t="s">
        <v>246</v>
      </c>
      <c r="D62" s="1" t="s">
        <v>325</v>
      </c>
      <c r="E62" s="1" t="s">
        <v>58</v>
      </c>
      <c r="F62" s="1"/>
      <c r="G62" s="58" t="s">
        <v>142</v>
      </c>
      <c r="H62" s="4" t="s">
        <v>7</v>
      </c>
      <c r="J62" s="5" t="s">
        <v>124</v>
      </c>
      <c r="K62" s="1">
        <v>2</v>
      </c>
      <c r="L62" s="1">
        <v>0</v>
      </c>
      <c r="M62" s="27">
        <f t="shared" si="2"/>
        <v>0</v>
      </c>
    </row>
    <row r="63" spans="1:13" ht="19.75" customHeight="1" x14ac:dyDescent="0.5">
      <c r="A63" s="50">
        <v>45580</v>
      </c>
      <c r="B63" s="1" t="s">
        <v>175</v>
      </c>
      <c r="C63" s="1" t="s">
        <v>247</v>
      </c>
      <c r="D63" s="1" t="s">
        <v>326</v>
      </c>
      <c r="E63" s="1" t="s">
        <v>58</v>
      </c>
      <c r="F63" s="1"/>
      <c r="G63" s="58" t="s">
        <v>143</v>
      </c>
      <c r="H63" s="4" t="s">
        <v>7</v>
      </c>
      <c r="J63" s="5" t="s">
        <v>138</v>
      </c>
      <c r="K63" s="1">
        <v>1</v>
      </c>
      <c r="L63" s="1">
        <v>1</v>
      </c>
      <c r="M63" s="27">
        <f t="shared" si="2"/>
        <v>1</v>
      </c>
    </row>
    <row r="64" spans="1:13" ht="18.55" customHeight="1" x14ac:dyDescent="0.5">
      <c r="A64" s="50">
        <v>45581</v>
      </c>
      <c r="B64" s="1" t="s">
        <v>165</v>
      </c>
      <c r="C64" s="1" t="s">
        <v>248</v>
      </c>
      <c r="D64" s="1" t="s">
        <v>327</v>
      </c>
      <c r="E64" s="1" t="s">
        <v>58</v>
      </c>
      <c r="F64" s="1"/>
      <c r="G64" s="58" t="s">
        <v>144</v>
      </c>
      <c r="H64" s="4" t="s">
        <v>6</v>
      </c>
      <c r="J64" s="5" t="s">
        <v>139</v>
      </c>
      <c r="K64" s="1">
        <v>1</v>
      </c>
      <c r="L64" s="1">
        <v>0</v>
      </c>
      <c r="M64" s="27">
        <f t="shared" si="2"/>
        <v>0</v>
      </c>
    </row>
    <row r="65" spans="1:13" ht="18.55" customHeight="1" x14ac:dyDescent="0.5">
      <c r="A65" s="50">
        <v>45582</v>
      </c>
      <c r="B65" s="1" t="s">
        <v>183</v>
      </c>
      <c r="C65" s="1" t="s">
        <v>249</v>
      </c>
      <c r="D65" s="1" t="s">
        <v>328</v>
      </c>
      <c r="E65" s="1" t="s">
        <v>58</v>
      </c>
      <c r="F65" s="1"/>
      <c r="G65" s="58" t="s">
        <v>145</v>
      </c>
      <c r="H65" s="4" t="s">
        <v>6</v>
      </c>
      <c r="J65" s="5" t="s">
        <v>141</v>
      </c>
      <c r="K65" s="1">
        <v>1</v>
      </c>
      <c r="L65" s="1">
        <v>0</v>
      </c>
      <c r="M65" s="27">
        <f t="shared" si="2"/>
        <v>0</v>
      </c>
    </row>
    <row r="66" spans="1:13" x14ac:dyDescent="0.5">
      <c r="A66" s="50">
        <v>45593</v>
      </c>
      <c r="B66" s="1" t="s">
        <v>166</v>
      </c>
      <c r="C66" s="1" t="s">
        <v>250</v>
      </c>
      <c r="D66" s="1" t="s">
        <v>329</v>
      </c>
      <c r="E66" s="1" t="s">
        <v>58</v>
      </c>
      <c r="F66" s="1"/>
      <c r="G66" s="1"/>
      <c r="H66" s="4" t="s">
        <v>7</v>
      </c>
      <c r="J66" s="5" t="s">
        <v>146</v>
      </c>
      <c r="K66" s="1">
        <v>1</v>
      </c>
      <c r="L66" s="1">
        <v>0</v>
      </c>
      <c r="M66" s="27">
        <f t="shared" si="2"/>
        <v>0</v>
      </c>
    </row>
    <row r="67" spans="1:13" x14ac:dyDescent="0.5">
      <c r="A67" s="50">
        <v>45595</v>
      </c>
      <c r="B67" s="1" t="s">
        <v>158</v>
      </c>
      <c r="C67" s="1" t="s">
        <v>251</v>
      </c>
      <c r="D67" s="1" t="s">
        <v>330</v>
      </c>
      <c r="E67" s="1" t="s">
        <v>58</v>
      </c>
      <c r="F67" s="1"/>
      <c r="G67" s="1"/>
      <c r="H67" s="4" t="s">
        <v>6</v>
      </c>
      <c r="J67" s="5" t="s">
        <v>150</v>
      </c>
      <c r="K67" s="1">
        <v>1</v>
      </c>
      <c r="L67" s="1">
        <v>0</v>
      </c>
      <c r="M67" s="27">
        <f t="shared" si="2"/>
        <v>0</v>
      </c>
    </row>
    <row r="68" spans="1:13" ht="18.55" customHeight="1" x14ac:dyDescent="0.5">
      <c r="A68" s="50">
        <v>45602</v>
      </c>
      <c r="B68" s="1" t="s">
        <v>179</v>
      </c>
      <c r="C68" s="1" t="s">
        <v>252</v>
      </c>
      <c r="D68" s="1" t="s">
        <v>331</v>
      </c>
      <c r="E68" s="1" t="s">
        <v>58</v>
      </c>
      <c r="F68" s="1"/>
      <c r="G68" s="58" t="s">
        <v>147</v>
      </c>
      <c r="H68" s="4" t="s">
        <v>7</v>
      </c>
      <c r="J68" s="5" t="s">
        <v>155</v>
      </c>
      <c r="K68" s="1">
        <v>1</v>
      </c>
      <c r="L68" s="1">
        <v>0</v>
      </c>
      <c r="M68" s="27">
        <f t="shared" si="2"/>
        <v>0</v>
      </c>
    </row>
    <row r="69" spans="1:13" x14ac:dyDescent="0.5">
      <c r="A69" s="50">
        <v>45610</v>
      </c>
      <c r="B69" s="1" t="s">
        <v>158</v>
      </c>
      <c r="C69" s="1" t="s">
        <v>253</v>
      </c>
      <c r="D69" s="1" t="s">
        <v>332</v>
      </c>
      <c r="E69" s="1" t="s">
        <v>57</v>
      </c>
      <c r="F69" s="1"/>
      <c r="G69" s="1" t="s">
        <v>148</v>
      </c>
      <c r="H69" s="4" t="s">
        <v>7</v>
      </c>
      <c r="J69" s="5"/>
      <c r="K69" s="1"/>
      <c r="L69" s="1"/>
      <c r="M69" s="27" t="str">
        <f t="shared" si="2"/>
        <v/>
      </c>
    </row>
    <row r="70" spans="1:13" x14ac:dyDescent="0.5">
      <c r="A70" s="50">
        <v>45612</v>
      </c>
      <c r="B70" s="1" t="s">
        <v>175</v>
      </c>
      <c r="C70" s="1" t="s">
        <v>254</v>
      </c>
      <c r="D70" s="1" t="s">
        <v>333</v>
      </c>
      <c r="E70" s="1" t="s">
        <v>58</v>
      </c>
      <c r="F70" s="1"/>
      <c r="G70" s="1"/>
      <c r="H70" s="4" t="s">
        <v>6</v>
      </c>
      <c r="J70" s="5"/>
      <c r="K70" s="1"/>
      <c r="L70" s="1"/>
      <c r="M70" s="27" t="str">
        <f t="shared" si="2"/>
        <v/>
      </c>
    </row>
    <row r="71" spans="1:13" ht="18" customHeight="1" x14ac:dyDescent="0.5">
      <c r="A71" s="50">
        <v>45623</v>
      </c>
      <c r="B71" s="1" t="s">
        <v>158</v>
      </c>
      <c r="C71" s="1" t="s">
        <v>255</v>
      </c>
      <c r="D71" s="1" t="s">
        <v>334</v>
      </c>
      <c r="E71" s="1" t="s">
        <v>58</v>
      </c>
      <c r="F71" s="1"/>
      <c r="G71" s="58" t="s">
        <v>149</v>
      </c>
      <c r="H71" s="4" t="s">
        <v>6</v>
      </c>
      <c r="J71" s="5"/>
      <c r="K71" s="1"/>
      <c r="L71" s="1"/>
      <c r="M71" s="27" t="str">
        <f t="shared" si="2"/>
        <v/>
      </c>
    </row>
    <row r="72" spans="1:13" x14ac:dyDescent="0.5">
      <c r="A72" s="50">
        <v>45630</v>
      </c>
      <c r="B72" s="1" t="s">
        <v>175</v>
      </c>
      <c r="C72" s="1" t="s">
        <v>256</v>
      </c>
      <c r="D72" s="1" t="s">
        <v>335</v>
      </c>
      <c r="E72" s="1" t="s">
        <v>58</v>
      </c>
      <c r="F72" s="1"/>
      <c r="G72" s="1"/>
      <c r="H72" s="4" t="s">
        <v>7</v>
      </c>
      <c r="J72" s="5"/>
      <c r="K72" s="1"/>
      <c r="L72" s="1"/>
      <c r="M72" s="27" t="str">
        <f t="shared" si="2"/>
        <v/>
      </c>
    </row>
    <row r="73" spans="1:13" x14ac:dyDescent="0.5">
      <c r="A73" s="50">
        <v>45632</v>
      </c>
      <c r="B73" s="1" t="s">
        <v>158</v>
      </c>
      <c r="C73" s="1" t="s">
        <v>257</v>
      </c>
      <c r="D73" s="1" t="s">
        <v>336</v>
      </c>
      <c r="E73" s="1" t="s">
        <v>58</v>
      </c>
      <c r="F73" s="1"/>
      <c r="G73" s="1"/>
      <c r="H73" s="4" t="s">
        <v>7</v>
      </c>
      <c r="J73" s="5"/>
      <c r="K73" s="1"/>
      <c r="L73" s="1"/>
      <c r="M73" s="27" t="str">
        <f t="shared" si="2"/>
        <v/>
      </c>
    </row>
    <row r="74" spans="1:13" x14ac:dyDescent="0.5">
      <c r="A74" s="50">
        <v>45635</v>
      </c>
      <c r="B74" s="1" t="s">
        <v>167</v>
      </c>
      <c r="C74" s="1" t="s">
        <v>258</v>
      </c>
      <c r="D74" s="1" t="s">
        <v>337</v>
      </c>
      <c r="E74" s="1" t="s">
        <v>58</v>
      </c>
      <c r="F74" s="1"/>
      <c r="G74" s="1"/>
      <c r="H74" s="4" t="s">
        <v>6</v>
      </c>
      <c r="J74" s="5"/>
      <c r="K74" s="1"/>
      <c r="L74" s="1"/>
      <c r="M74" s="27" t="str">
        <f t="shared" si="2"/>
        <v/>
      </c>
    </row>
    <row r="75" spans="1:13" x14ac:dyDescent="0.5">
      <c r="A75" s="50">
        <v>45635</v>
      </c>
      <c r="B75" s="1" t="s">
        <v>184</v>
      </c>
      <c r="C75" s="1" t="s">
        <v>259</v>
      </c>
      <c r="D75" s="1" t="s">
        <v>338</v>
      </c>
      <c r="E75" s="1" t="s">
        <v>58</v>
      </c>
      <c r="F75" s="1"/>
      <c r="G75" s="1"/>
      <c r="H75" s="4" t="s">
        <v>6</v>
      </c>
      <c r="J75" s="5"/>
      <c r="K75" s="1"/>
      <c r="L75" s="1"/>
      <c r="M75" s="27" t="str">
        <f t="shared" si="2"/>
        <v/>
      </c>
    </row>
    <row r="76" spans="1:13" x14ac:dyDescent="0.5">
      <c r="A76" s="50">
        <v>45635</v>
      </c>
      <c r="B76" s="1" t="s">
        <v>175</v>
      </c>
      <c r="C76" s="1" t="s">
        <v>260</v>
      </c>
      <c r="D76" s="1" t="s">
        <v>339</v>
      </c>
      <c r="E76" s="1" t="s">
        <v>58</v>
      </c>
      <c r="F76" s="1"/>
      <c r="G76" s="1"/>
      <c r="H76" s="4" t="s">
        <v>7</v>
      </c>
      <c r="J76" s="5"/>
      <c r="K76" s="1"/>
      <c r="L76" s="1"/>
      <c r="M76" s="27" t="str">
        <f t="shared" si="2"/>
        <v/>
      </c>
    </row>
    <row r="77" spans="1:13" ht="18.55" customHeight="1" x14ac:dyDescent="0.5">
      <c r="A77" s="50">
        <v>45639</v>
      </c>
      <c r="B77" s="1" t="s">
        <v>185</v>
      </c>
      <c r="C77" s="1" t="s">
        <v>261</v>
      </c>
      <c r="D77" s="1" t="s">
        <v>340</v>
      </c>
      <c r="E77" s="1" t="s">
        <v>58</v>
      </c>
      <c r="F77" s="1"/>
      <c r="G77" s="58" t="s">
        <v>151</v>
      </c>
      <c r="H77" s="4" t="s">
        <v>7</v>
      </c>
      <c r="J77" s="5"/>
      <c r="K77" s="1"/>
      <c r="L77" s="1"/>
      <c r="M77" s="27" t="str">
        <f t="shared" si="2"/>
        <v/>
      </c>
    </row>
    <row r="78" spans="1:13" ht="16.8" customHeight="1" x14ac:dyDescent="0.5">
      <c r="A78" s="50">
        <v>45645</v>
      </c>
      <c r="B78" s="1" t="s">
        <v>170</v>
      </c>
      <c r="C78" s="1" t="s">
        <v>262</v>
      </c>
      <c r="D78" s="1" t="s">
        <v>341</v>
      </c>
      <c r="E78" s="1" t="s">
        <v>58</v>
      </c>
      <c r="F78" s="1"/>
      <c r="G78" s="58" t="s">
        <v>152</v>
      </c>
      <c r="H78" s="4" t="s">
        <v>6</v>
      </c>
      <c r="J78" s="5"/>
      <c r="K78" s="1"/>
      <c r="L78" s="1"/>
      <c r="M78" s="27" t="str">
        <f t="shared" si="2"/>
        <v/>
      </c>
    </row>
    <row r="79" spans="1:13" ht="20.45" customHeight="1" x14ac:dyDescent="0.5">
      <c r="A79" s="50">
        <v>45649</v>
      </c>
      <c r="B79" s="1" t="s">
        <v>158</v>
      </c>
      <c r="C79" s="1" t="s">
        <v>263</v>
      </c>
      <c r="D79" s="1" t="s">
        <v>342</v>
      </c>
      <c r="E79" s="1" t="s">
        <v>58</v>
      </c>
      <c r="F79" s="1"/>
      <c r="G79" s="58" t="s">
        <v>153</v>
      </c>
      <c r="H79" s="4" t="s">
        <v>6</v>
      </c>
      <c r="J79" s="5"/>
      <c r="K79" s="1"/>
      <c r="L79" s="1"/>
      <c r="M79" s="27" t="str">
        <f t="shared" si="2"/>
        <v/>
      </c>
    </row>
    <row r="80" spans="1:13" ht="20.45" customHeight="1" x14ac:dyDescent="0.5">
      <c r="A80" s="50">
        <v>45650</v>
      </c>
      <c r="B80" s="5" t="s">
        <v>170</v>
      </c>
      <c r="C80" s="1" t="s">
        <v>264</v>
      </c>
      <c r="D80" s="1" t="s">
        <v>343</v>
      </c>
      <c r="E80" s="1" t="s">
        <v>58</v>
      </c>
      <c r="F80" s="1"/>
      <c r="G80" s="58" t="s">
        <v>154</v>
      </c>
      <c r="H80" s="4" t="s">
        <v>6</v>
      </c>
      <c r="J80" s="5"/>
      <c r="K80" s="1"/>
      <c r="L80" s="1"/>
      <c r="M80" s="27" t="str">
        <f t="shared" si="2"/>
        <v/>
      </c>
    </row>
    <row r="81" spans="1:13" x14ac:dyDescent="0.5">
      <c r="A81" s="9"/>
      <c r="B81" s="1"/>
      <c r="C81" s="1"/>
      <c r="D81" s="1"/>
      <c r="E81" s="1"/>
      <c r="F81" s="1"/>
      <c r="G81" s="1"/>
      <c r="H81" s="4"/>
      <c r="J81" s="5"/>
      <c r="K81" s="1"/>
      <c r="L81" s="1"/>
      <c r="M81" s="27" t="str">
        <f t="shared" si="2"/>
        <v/>
      </c>
    </row>
    <row r="82" spans="1:13" x14ac:dyDescent="0.5">
      <c r="A82" s="9"/>
      <c r="B82" s="1"/>
      <c r="C82" s="1"/>
      <c r="D82" s="1"/>
      <c r="E82" s="1"/>
      <c r="F82" s="1"/>
      <c r="G82" s="1"/>
      <c r="H82" s="4"/>
      <c r="J82" s="5"/>
      <c r="K82" s="1"/>
      <c r="L82" s="1"/>
      <c r="M82" s="27" t="str">
        <f t="shared" si="2"/>
        <v/>
      </c>
    </row>
    <row r="83" spans="1:13" x14ac:dyDescent="0.5">
      <c r="A83" s="9"/>
      <c r="B83" s="1"/>
      <c r="C83" s="1"/>
      <c r="D83" s="1"/>
      <c r="E83" s="1"/>
      <c r="F83" s="1"/>
      <c r="G83" s="1"/>
      <c r="H83" s="4"/>
      <c r="J83" s="5"/>
      <c r="K83" s="1"/>
      <c r="L83" s="1"/>
      <c r="M83" s="27" t="str">
        <f t="shared" si="2"/>
        <v/>
      </c>
    </row>
    <row r="84" spans="1:13" x14ac:dyDescent="0.5">
      <c r="A84" s="9"/>
      <c r="B84" s="1"/>
      <c r="C84" s="1"/>
      <c r="D84" s="1"/>
      <c r="E84" s="1"/>
      <c r="F84" s="1"/>
      <c r="G84" s="1"/>
      <c r="H84" s="4"/>
      <c r="J84" s="5"/>
      <c r="K84" s="1"/>
      <c r="L84" s="1"/>
      <c r="M84" s="27" t="str">
        <f t="shared" si="2"/>
        <v/>
      </c>
    </row>
    <row r="85" spans="1:13" x14ac:dyDescent="0.5">
      <c r="A85" s="9"/>
      <c r="B85" s="1"/>
      <c r="C85" s="1"/>
      <c r="D85" s="1"/>
      <c r="E85" s="1"/>
      <c r="F85" s="1"/>
      <c r="G85" s="1"/>
      <c r="H85" s="4"/>
      <c r="J85" s="5"/>
      <c r="K85" s="1"/>
      <c r="L85" s="1"/>
      <c r="M85" s="27" t="str">
        <f t="shared" si="2"/>
        <v/>
      </c>
    </row>
    <row r="86" spans="1:13" x14ac:dyDescent="0.5">
      <c r="A86" s="9"/>
      <c r="B86" s="1"/>
      <c r="C86" s="1"/>
      <c r="D86" s="1"/>
      <c r="E86" s="1"/>
      <c r="F86" s="1"/>
      <c r="G86" s="1"/>
      <c r="H86" s="4"/>
      <c r="J86" s="5"/>
      <c r="K86" s="1"/>
      <c r="L86" s="1"/>
      <c r="M86" s="27" t="str">
        <f t="shared" si="2"/>
        <v/>
      </c>
    </row>
    <row r="87" spans="1:13" x14ac:dyDescent="0.5">
      <c r="A87" s="9"/>
      <c r="B87" s="1"/>
      <c r="C87" s="1"/>
      <c r="D87" s="1"/>
      <c r="E87" s="1"/>
      <c r="F87" s="1"/>
      <c r="G87" s="1"/>
      <c r="H87" s="4"/>
      <c r="J87" s="5"/>
      <c r="K87" s="1"/>
      <c r="L87" s="1"/>
      <c r="M87" s="27" t="str">
        <f t="shared" si="2"/>
        <v/>
      </c>
    </row>
    <row r="88" spans="1:13" x14ac:dyDescent="0.5">
      <c r="A88" s="9"/>
      <c r="B88" s="1"/>
      <c r="C88" s="1"/>
      <c r="D88" s="1"/>
      <c r="E88" s="1"/>
      <c r="F88" s="1"/>
      <c r="G88" s="1"/>
      <c r="H88" s="4"/>
      <c r="J88" s="5"/>
      <c r="K88" s="1"/>
      <c r="L88" s="1"/>
      <c r="M88" s="27" t="str">
        <f t="shared" si="2"/>
        <v/>
      </c>
    </row>
    <row r="89" spans="1:13" x14ac:dyDescent="0.5">
      <c r="A89" s="9"/>
      <c r="B89" s="1"/>
      <c r="C89" s="1"/>
      <c r="D89" s="1"/>
      <c r="E89" s="1"/>
      <c r="F89" s="1"/>
      <c r="G89" s="1"/>
      <c r="H89" s="4"/>
      <c r="J89" s="5"/>
      <c r="K89" s="1"/>
      <c r="L89" s="1"/>
      <c r="M89" s="27" t="str">
        <f t="shared" si="2"/>
        <v/>
      </c>
    </row>
    <row r="90" spans="1:13" x14ac:dyDescent="0.5">
      <c r="A90" s="9"/>
      <c r="B90" s="1"/>
      <c r="C90" s="1"/>
      <c r="D90" s="1"/>
      <c r="E90" s="1"/>
      <c r="F90" s="1"/>
      <c r="G90" s="1"/>
      <c r="H90" s="4"/>
      <c r="J90" s="5"/>
      <c r="K90" s="1"/>
      <c r="L90" s="1"/>
      <c r="M90" s="27" t="str">
        <f t="shared" si="2"/>
        <v/>
      </c>
    </row>
    <row r="91" spans="1:13" x14ac:dyDescent="0.5">
      <c r="A91" s="9"/>
      <c r="B91" s="1"/>
      <c r="C91" s="1"/>
      <c r="D91" s="1"/>
      <c r="E91" s="1"/>
      <c r="F91" s="1"/>
      <c r="G91" s="1"/>
      <c r="H91" s="4"/>
      <c r="J91" s="5"/>
      <c r="K91" s="1"/>
      <c r="L91" s="1"/>
      <c r="M91" s="27" t="str">
        <f t="shared" si="2"/>
        <v/>
      </c>
    </row>
    <row r="92" spans="1:13" x14ac:dyDescent="0.5">
      <c r="A92" s="9"/>
      <c r="B92" s="1"/>
      <c r="C92" s="1"/>
      <c r="D92" s="1"/>
      <c r="E92" s="1"/>
      <c r="F92" s="1"/>
      <c r="G92" s="1"/>
      <c r="H92" s="4"/>
      <c r="J92" s="5"/>
      <c r="K92" s="1"/>
      <c r="L92" s="1"/>
      <c r="M92" s="27" t="str">
        <f t="shared" si="2"/>
        <v/>
      </c>
    </row>
    <row r="93" spans="1:13" x14ac:dyDescent="0.5">
      <c r="A93" s="9"/>
      <c r="B93" s="1"/>
      <c r="C93" s="1"/>
      <c r="D93" s="1"/>
      <c r="E93" s="1"/>
      <c r="F93" s="1"/>
      <c r="G93" s="1"/>
      <c r="H93" s="4"/>
      <c r="J93" s="5"/>
      <c r="K93" s="1"/>
      <c r="L93" s="1"/>
      <c r="M93" s="27" t="str">
        <f t="shared" si="2"/>
        <v/>
      </c>
    </row>
    <row r="94" spans="1:13" x14ac:dyDescent="0.5">
      <c r="A94" s="9"/>
      <c r="B94" s="1"/>
      <c r="C94" s="1"/>
      <c r="D94" s="1"/>
      <c r="E94" s="1"/>
      <c r="F94" s="1"/>
      <c r="G94" s="1"/>
      <c r="H94" s="4"/>
      <c r="J94" s="5"/>
      <c r="K94" s="1"/>
      <c r="L94" s="1"/>
      <c r="M94" s="27" t="str">
        <f t="shared" si="2"/>
        <v/>
      </c>
    </row>
    <row r="95" spans="1:13" x14ac:dyDescent="0.5">
      <c r="A95" s="9"/>
      <c r="B95" s="1"/>
      <c r="C95" s="1"/>
      <c r="D95" s="1"/>
      <c r="E95" s="1"/>
      <c r="F95" s="1"/>
      <c r="G95" s="1"/>
      <c r="H95" s="4"/>
      <c r="J95" s="5"/>
      <c r="K95" s="1"/>
      <c r="L95" s="1"/>
      <c r="M95" s="27" t="str">
        <f t="shared" si="2"/>
        <v/>
      </c>
    </row>
    <row r="96" spans="1:13" x14ac:dyDescent="0.5">
      <c r="A96" s="9"/>
      <c r="B96" s="1"/>
      <c r="C96" s="1"/>
      <c r="D96" s="1"/>
      <c r="E96" s="1"/>
      <c r="F96" s="1"/>
      <c r="G96" s="1"/>
      <c r="H96" s="4"/>
      <c r="J96" s="5"/>
      <c r="K96" s="1"/>
      <c r="L96" s="1"/>
      <c r="M96" s="27" t="str">
        <f t="shared" si="2"/>
        <v/>
      </c>
    </row>
    <row r="97" spans="1:13" x14ac:dyDescent="0.5">
      <c r="A97" s="9"/>
      <c r="B97" s="1"/>
      <c r="C97" s="1"/>
      <c r="D97" s="1"/>
      <c r="E97" s="1"/>
      <c r="F97" s="1"/>
      <c r="G97" s="1"/>
      <c r="H97" s="4"/>
      <c r="J97" s="5"/>
      <c r="K97" s="1"/>
      <c r="L97" s="1"/>
      <c r="M97" s="27" t="str">
        <f t="shared" si="2"/>
        <v/>
      </c>
    </row>
    <row r="98" spans="1:13" x14ac:dyDescent="0.5">
      <c r="A98" s="9"/>
      <c r="B98" s="1"/>
      <c r="C98" s="1"/>
      <c r="D98" s="1"/>
      <c r="E98" s="1"/>
      <c r="F98" s="1"/>
      <c r="G98" s="1"/>
      <c r="H98" s="4"/>
      <c r="J98" s="5"/>
      <c r="K98" s="1"/>
      <c r="L98" s="1"/>
      <c r="M98" s="27" t="str">
        <f t="shared" si="2"/>
        <v/>
      </c>
    </row>
    <row r="99" spans="1:13" x14ac:dyDescent="0.5">
      <c r="A99" s="9"/>
      <c r="B99" s="1"/>
      <c r="C99" s="1"/>
      <c r="D99" s="1"/>
      <c r="E99" s="1"/>
      <c r="F99" s="1"/>
      <c r="G99" s="1"/>
      <c r="H99" s="4"/>
      <c r="J99" s="5"/>
      <c r="K99" s="1"/>
      <c r="L99" s="1"/>
      <c r="M99" s="27" t="str">
        <f t="shared" si="2"/>
        <v/>
      </c>
    </row>
    <row r="100" spans="1:13" x14ac:dyDescent="0.5">
      <c r="A100" s="9"/>
      <c r="B100" s="1"/>
      <c r="C100" s="1"/>
      <c r="D100" s="1"/>
      <c r="E100" s="1"/>
      <c r="F100" s="1"/>
      <c r="G100" s="1"/>
      <c r="H100" s="4"/>
      <c r="J100" s="5"/>
      <c r="K100" s="1"/>
      <c r="L100" s="1"/>
      <c r="M100" s="27" t="str">
        <f t="shared" si="2"/>
        <v/>
      </c>
    </row>
    <row r="101" spans="1:13" x14ac:dyDescent="0.5">
      <c r="A101" s="9"/>
      <c r="B101" s="1"/>
      <c r="C101" s="1"/>
      <c r="D101" s="1"/>
      <c r="E101" s="1"/>
      <c r="F101" s="1"/>
      <c r="G101" s="1"/>
      <c r="H101" s="4"/>
      <c r="J101" s="5"/>
      <c r="K101" s="1"/>
      <c r="L101" s="1"/>
      <c r="M101" s="27" t="str">
        <f t="shared" si="2"/>
        <v/>
      </c>
    </row>
    <row r="102" spans="1:13" x14ac:dyDescent="0.5">
      <c r="A102" s="9"/>
      <c r="B102" s="1"/>
      <c r="C102" s="1"/>
      <c r="D102" s="1"/>
      <c r="E102" s="1"/>
      <c r="F102" s="1"/>
      <c r="G102" s="1"/>
      <c r="H102" s="4"/>
      <c r="J102" s="5"/>
      <c r="K102" s="1"/>
      <c r="L102" s="1"/>
      <c r="M102" s="27" t="str">
        <f t="shared" si="2"/>
        <v/>
      </c>
    </row>
    <row r="103" spans="1:13" x14ac:dyDescent="0.5">
      <c r="A103" s="9"/>
      <c r="B103" s="1"/>
      <c r="C103" s="1"/>
      <c r="D103" s="1"/>
      <c r="E103" s="1"/>
      <c r="F103" s="1"/>
      <c r="G103" s="1"/>
      <c r="H103" s="4"/>
      <c r="J103" s="5"/>
      <c r="K103" s="1"/>
      <c r="L103" s="1"/>
      <c r="M103" s="27" t="str">
        <f t="shared" si="2"/>
        <v/>
      </c>
    </row>
    <row r="104" spans="1:13" x14ac:dyDescent="0.5">
      <c r="A104" s="9"/>
      <c r="B104" s="1"/>
      <c r="C104" s="1"/>
      <c r="D104" s="1"/>
      <c r="E104" s="1"/>
      <c r="F104" s="1"/>
      <c r="G104" s="1"/>
      <c r="H104" s="4"/>
      <c r="J104" s="5"/>
      <c r="K104" s="1"/>
      <c r="L104" s="1"/>
      <c r="M104" s="27" t="str">
        <f t="shared" ref="M104:M121" si="3">IFERROR(L104/K104, "")</f>
        <v/>
      </c>
    </row>
    <row r="105" spans="1:13" x14ac:dyDescent="0.5">
      <c r="A105" s="9"/>
      <c r="B105" s="1"/>
      <c r="C105" s="1"/>
      <c r="D105" s="1"/>
      <c r="E105" s="1"/>
      <c r="F105" s="1"/>
      <c r="G105" s="1"/>
      <c r="H105" s="4"/>
      <c r="J105" s="5"/>
      <c r="K105" s="1"/>
      <c r="L105" s="1"/>
      <c r="M105" s="27" t="str">
        <f t="shared" si="3"/>
        <v/>
      </c>
    </row>
    <row r="106" spans="1:13" x14ac:dyDescent="0.5">
      <c r="A106" s="9"/>
      <c r="B106" s="1"/>
      <c r="C106" s="1"/>
      <c r="D106" s="1"/>
      <c r="E106" s="1"/>
      <c r="F106" s="1"/>
      <c r="G106" s="1"/>
      <c r="H106" s="4"/>
      <c r="J106" s="5"/>
      <c r="K106" s="1"/>
      <c r="L106" s="1"/>
      <c r="M106" s="27" t="str">
        <f t="shared" si="3"/>
        <v/>
      </c>
    </row>
    <row r="107" spans="1:13" x14ac:dyDescent="0.5">
      <c r="A107" s="9"/>
      <c r="B107" s="1"/>
      <c r="C107" s="1"/>
      <c r="D107" s="1"/>
      <c r="E107" s="1"/>
      <c r="F107" s="1"/>
      <c r="G107" s="1"/>
      <c r="H107" s="4"/>
      <c r="J107" s="5"/>
      <c r="K107" s="1"/>
      <c r="L107" s="1"/>
      <c r="M107" s="27" t="str">
        <f t="shared" si="3"/>
        <v/>
      </c>
    </row>
    <row r="108" spans="1:13" x14ac:dyDescent="0.5">
      <c r="A108" s="9"/>
      <c r="B108" s="1"/>
      <c r="C108" s="1"/>
      <c r="D108" s="1"/>
      <c r="E108" s="1"/>
      <c r="F108" s="1"/>
      <c r="G108" s="1"/>
      <c r="H108" s="4"/>
      <c r="J108" s="5"/>
      <c r="K108" s="1"/>
      <c r="L108" s="1"/>
      <c r="M108" s="27" t="str">
        <f t="shared" si="3"/>
        <v/>
      </c>
    </row>
    <row r="109" spans="1:13" x14ac:dyDescent="0.5">
      <c r="A109" s="9"/>
      <c r="B109" s="1"/>
      <c r="C109" s="1"/>
      <c r="D109" s="1"/>
      <c r="E109" s="1"/>
      <c r="F109" s="1"/>
      <c r="G109" s="1"/>
      <c r="H109" s="4"/>
      <c r="J109" s="5"/>
      <c r="K109" s="1"/>
      <c r="L109" s="1"/>
      <c r="M109" s="27" t="str">
        <f t="shared" si="3"/>
        <v/>
      </c>
    </row>
    <row r="110" spans="1:13" x14ac:dyDescent="0.5">
      <c r="A110" s="9"/>
      <c r="B110" s="1"/>
      <c r="C110" s="1"/>
      <c r="D110" s="1"/>
      <c r="E110" s="1"/>
      <c r="F110" s="1"/>
      <c r="G110" s="1"/>
      <c r="H110" s="4"/>
      <c r="J110" s="5"/>
      <c r="K110" s="1"/>
      <c r="L110" s="1"/>
      <c r="M110" s="27" t="str">
        <f t="shared" si="3"/>
        <v/>
      </c>
    </row>
    <row r="111" spans="1:13" x14ac:dyDescent="0.5">
      <c r="A111" s="9"/>
      <c r="B111" s="1"/>
      <c r="C111" s="1"/>
      <c r="D111" s="1"/>
      <c r="E111" s="1"/>
      <c r="F111" s="1"/>
      <c r="G111" s="1"/>
      <c r="H111" s="4"/>
      <c r="J111" s="5"/>
      <c r="K111" s="1"/>
      <c r="L111" s="1"/>
      <c r="M111" s="27" t="str">
        <f t="shared" si="3"/>
        <v/>
      </c>
    </row>
    <row r="112" spans="1:13" x14ac:dyDescent="0.5">
      <c r="A112" s="9"/>
      <c r="B112" s="1"/>
      <c r="C112" s="1"/>
      <c r="D112" s="1"/>
      <c r="E112" s="1"/>
      <c r="F112" s="1"/>
      <c r="G112" s="1"/>
      <c r="H112" s="4"/>
      <c r="J112" s="5"/>
      <c r="K112" s="1"/>
      <c r="L112" s="1"/>
      <c r="M112" s="27" t="str">
        <f t="shared" si="3"/>
        <v/>
      </c>
    </row>
    <row r="113" spans="1:13" x14ac:dyDescent="0.5">
      <c r="A113" s="9"/>
      <c r="B113" s="1"/>
      <c r="C113" s="1"/>
      <c r="D113" s="1"/>
      <c r="E113" s="1"/>
      <c r="F113" s="1"/>
      <c r="G113" s="1"/>
      <c r="H113" s="4"/>
      <c r="J113" s="5"/>
      <c r="K113" s="1"/>
      <c r="L113" s="1"/>
      <c r="M113" s="27" t="str">
        <f t="shared" si="3"/>
        <v/>
      </c>
    </row>
    <row r="114" spans="1:13" x14ac:dyDescent="0.5">
      <c r="A114" s="9"/>
      <c r="B114" s="1"/>
      <c r="C114" s="1"/>
      <c r="D114" s="1"/>
      <c r="E114" s="1"/>
      <c r="F114" s="1"/>
      <c r="G114" s="1"/>
      <c r="H114" s="4"/>
      <c r="J114" s="5"/>
      <c r="K114" s="1"/>
      <c r="L114" s="1"/>
      <c r="M114" s="27" t="str">
        <f t="shared" si="3"/>
        <v/>
      </c>
    </row>
    <row r="115" spans="1:13" x14ac:dyDescent="0.5">
      <c r="A115" s="9"/>
      <c r="B115" s="1"/>
      <c r="C115" s="1"/>
      <c r="D115" s="1"/>
      <c r="E115" s="1"/>
      <c r="F115" s="1"/>
      <c r="G115" s="1"/>
      <c r="H115" s="4"/>
      <c r="J115" s="5"/>
      <c r="K115" s="1"/>
      <c r="L115" s="1"/>
      <c r="M115" s="27" t="str">
        <f t="shared" si="3"/>
        <v/>
      </c>
    </row>
    <row r="116" spans="1:13" x14ac:dyDescent="0.5">
      <c r="A116" s="9"/>
      <c r="B116" s="1"/>
      <c r="C116" s="1"/>
      <c r="D116" s="1"/>
      <c r="E116" s="1"/>
      <c r="F116" s="1"/>
      <c r="G116" s="1"/>
      <c r="H116" s="4"/>
      <c r="J116" s="5"/>
      <c r="K116" s="1"/>
      <c r="L116" s="1"/>
      <c r="M116" s="27" t="str">
        <f t="shared" si="3"/>
        <v/>
      </c>
    </row>
    <row r="117" spans="1:13" x14ac:dyDescent="0.5">
      <c r="A117" s="9"/>
      <c r="B117" s="1"/>
      <c r="C117" s="1"/>
      <c r="D117" s="1"/>
      <c r="E117" s="1"/>
      <c r="F117" s="1"/>
      <c r="G117" s="1"/>
      <c r="H117" s="4"/>
      <c r="J117" s="5"/>
      <c r="K117" s="1"/>
      <c r="L117" s="1"/>
      <c r="M117" s="27" t="str">
        <f t="shared" si="3"/>
        <v/>
      </c>
    </row>
    <row r="118" spans="1:13" x14ac:dyDescent="0.5">
      <c r="A118" s="9"/>
      <c r="B118" s="1"/>
      <c r="C118" s="1"/>
      <c r="D118" s="1"/>
      <c r="E118" s="1"/>
      <c r="F118" s="1"/>
      <c r="G118" s="1"/>
      <c r="H118" s="4"/>
      <c r="J118" s="5"/>
      <c r="K118" s="1"/>
      <c r="L118" s="1"/>
      <c r="M118" s="27" t="str">
        <f t="shared" si="3"/>
        <v/>
      </c>
    </row>
    <row r="119" spans="1:13" x14ac:dyDescent="0.5">
      <c r="A119" s="9"/>
      <c r="B119" s="1"/>
      <c r="C119" s="1"/>
      <c r="D119" s="1"/>
      <c r="E119" s="1"/>
      <c r="F119" s="1"/>
      <c r="G119" s="1"/>
      <c r="H119" s="4"/>
      <c r="J119" s="5"/>
      <c r="K119" s="1"/>
      <c r="L119" s="1"/>
      <c r="M119" s="27" t="str">
        <f t="shared" si="3"/>
        <v/>
      </c>
    </row>
    <row r="120" spans="1:13" x14ac:dyDescent="0.5">
      <c r="A120" s="9"/>
      <c r="B120" s="1"/>
      <c r="C120" s="1"/>
      <c r="D120" s="1"/>
      <c r="E120" s="1"/>
      <c r="F120" s="1"/>
      <c r="G120" s="1"/>
      <c r="H120" s="4"/>
      <c r="J120" s="5"/>
      <c r="K120" s="1"/>
      <c r="L120" s="1"/>
      <c r="M120" s="27" t="str">
        <f t="shared" si="3"/>
        <v/>
      </c>
    </row>
    <row r="121" spans="1:13" ht="18.3" thickBot="1" x14ac:dyDescent="0.55000000000000004">
      <c r="A121" s="10"/>
      <c r="B121" s="7"/>
      <c r="C121" s="7"/>
      <c r="D121" s="7"/>
      <c r="E121" s="7"/>
      <c r="F121" s="7"/>
      <c r="G121" s="7"/>
      <c r="H121" s="8"/>
      <c r="J121" s="6"/>
      <c r="K121" s="7"/>
      <c r="L121" s="7"/>
      <c r="M121" s="31" t="str">
        <f t="shared" si="3"/>
        <v/>
      </c>
    </row>
  </sheetData>
  <mergeCells count="23">
    <mergeCell ref="J37:M37"/>
    <mergeCell ref="J29:L29"/>
    <mergeCell ref="M13:N13"/>
    <mergeCell ref="M14:N14"/>
    <mergeCell ref="M15:N15"/>
    <mergeCell ref="M16:N16"/>
    <mergeCell ref="M17:N17"/>
    <mergeCell ref="M24:N24"/>
    <mergeCell ref="M25:N25"/>
    <mergeCell ref="M26:N26"/>
    <mergeCell ref="M27:N27"/>
    <mergeCell ref="J6:N6"/>
    <mergeCell ref="J2:L2"/>
    <mergeCell ref="J21:N21"/>
    <mergeCell ref="M23:N23"/>
    <mergeCell ref="M22:N22"/>
    <mergeCell ref="M8:N8"/>
    <mergeCell ref="M9:N9"/>
    <mergeCell ref="M10:N10"/>
    <mergeCell ref="M11:N11"/>
    <mergeCell ref="M12:N12"/>
    <mergeCell ref="M18:N18"/>
    <mergeCell ref="M19:N19"/>
  </mergeCells>
  <phoneticPr fontId="1"/>
  <dataValidations count="3">
    <dataValidation type="list" allowBlank="1" showInputMessage="1" showErrorMessage="1" sqref="H2:H121" xr:uid="{6CEFEEC2-52C2-4C93-8D40-4444B35B256A}">
      <formula1>$J$31:$J$35</formula1>
    </dataValidation>
    <dataValidation type="list" allowBlank="1" showInputMessage="1" showErrorMessage="1" sqref="F2:F121" xr:uid="{78FDF2D0-AD44-48E3-A157-D772C6BEF06E}">
      <formula1>$J$23:$J$27</formula1>
    </dataValidation>
    <dataValidation type="list" allowBlank="1" showInputMessage="1" showErrorMessage="1" sqref="E2:E121" xr:uid="{0EC44315-28DC-4086-9F50-AFE074AA37ED}">
      <formula1>$P$7:$P$9</formula1>
    </dataValidation>
  </dataValidations>
  <pageMargins left="0.25" right="0.25" top="0.75" bottom="0.75" header="0.3" footer="0.3"/>
  <pageSetup paperSize="8" scale="48" orientation="landscape"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3D60A-9774-40EA-8166-4C7D0D7A374D}">
  <sheetPr codeName="Sheet4">
    <tabColor rgb="FF00B0F0"/>
  </sheetPr>
  <dimension ref="A1:R121"/>
  <sheetViews>
    <sheetView zoomScale="76" zoomScaleNormal="76" workbookViewId="0">
      <pane ySplit="1" topLeftCell="A2" activePane="bottomLeft" state="frozen"/>
      <selection pane="bottomLeft" activeCell="G34" sqref="G34"/>
    </sheetView>
  </sheetViews>
  <sheetFormatPr defaultRowHeight="17.75" x14ac:dyDescent="0.5"/>
  <cols>
    <col min="1" max="1" width="13.08984375" customWidth="1"/>
    <col min="2" max="2" width="30.6328125" customWidth="1"/>
    <col min="3" max="3" width="14.6328125" customWidth="1"/>
    <col min="4" max="4" width="22.26953125" customWidth="1"/>
    <col min="5" max="5" width="11.6328125" customWidth="1"/>
    <col min="6" max="6" width="43.81640625" customWidth="1"/>
    <col min="7" max="7" width="48.26953125" customWidth="1"/>
    <col min="8" max="8" width="15.1796875" customWidth="1"/>
    <col min="10" max="10" width="20" customWidth="1"/>
    <col min="11" max="11" width="17.90625" customWidth="1"/>
    <col min="12" max="12" width="20.1796875" customWidth="1"/>
    <col min="13" max="13" width="8.90625" customWidth="1"/>
    <col min="15" max="15" width="8.6328125" customWidth="1"/>
    <col min="17" max="17" width="7.36328125" customWidth="1"/>
    <col min="18" max="18" width="11.08984375" customWidth="1"/>
  </cols>
  <sheetData>
    <row r="1" spans="1:18" ht="18.3" thickBot="1" x14ac:dyDescent="0.55000000000000004">
      <c r="A1" s="46" t="s">
        <v>0</v>
      </c>
      <c r="B1" s="51" t="s">
        <v>1</v>
      </c>
      <c r="C1" s="37" t="s">
        <v>2</v>
      </c>
      <c r="D1" s="38" t="s">
        <v>3</v>
      </c>
      <c r="E1" s="39" t="s">
        <v>65</v>
      </c>
      <c r="F1" s="40" t="s">
        <v>38</v>
      </c>
      <c r="G1" s="41" t="s">
        <v>4</v>
      </c>
      <c r="H1" s="42" t="s">
        <v>5</v>
      </c>
    </row>
    <row r="2" spans="1:18" ht="18.3" thickBot="1" x14ac:dyDescent="0.55000000000000004">
      <c r="A2" s="52"/>
      <c r="B2" s="48"/>
      <c r="C2" s="48"/>
      <c r="D2" s="48"/>
      <c r="E2" s="48"/>
      <c r="F2" s="48"/>
      <c r="G2" s="48"/>
      <c r="H2" s="49"/>
      <c r="J2" s="64" t="s">
        <v>33</v>
      </c>
      <c r="K2" s="65"/>
      <c r="L2" s="66"/>
    </row>
    <row r="3" spans="1:18" x14ac:dyDescent="0.5">
      <c r="A3" s="53"/>
      <c r="B3" s="1"/>
      <c r="C3" s="1"/>
      <c r="D3" s="1"/>
      <c r="E3" s="1"/>
      <c r="F3" s="1"/>
      <c r="G3" s="1"/>
      <c r="H3" s="4"/>
      <c r="J3" s="23" t="s">
        <v>37</v>
      </c>
      <c r="K3" s="24" t="s">
        <v>39</v>
      </c>
      <c r="L3" s="25" t="s">
        <v>40</v>
      </c>
    </row>
    <row r="4" spans="1:18" ht="18.3" thickBot="1" x14ac:dyDescent="0.55000000000000004">
      <c r="A4" s="53"/>
      <c r="B4" s="1"/>
      <c r="C4" s="1"/>
      <c r="D4" s="1"/>
      <c r="E4" s="1"/>
      <c r="F4" s="1"/>
      <c r="G4" s="1"/>
      <c r="H4" s="4"/>
      <c r="J4" s="6">
        <f>COUNTA(A2:A120)</f>
        <v>0</v>
      </c>
      <c r="K4" s="7">
        <f>COUNTIF(E2:E120,"*×*")</f>
        <v>0</v>
      </c>
      <c r="L4" s="26" t="str">
        <f>IF(J4&lt;&gt;0, K4/J4, "-")</f>
        <v>-</v>
      </c>
    </row>
    <row r="5" spans="1:18" ht="18.3" thickBot="1" x14ac:dyDescent="0.55000000000000004">
      <c r="A5" s="53"/>
      <c r="B5" s="1"/>
      <c r="C5" s="1"/>
      <c r="D5" s="1"/>
      <c r="E5" s="1"/>
      <c r="F5" s="1"/>
      <c r="G5" s="1"/>
      <c r="H5" s="4"/>
    </row>
    <row r="6" spans="1:18" x14ac:dyDescent="0.5">
      <c r="A6" s="53"/>
      <c r="B6" s="1"/>
      <c r="C6" s="1"/>
      <c r="D6" s="1"/>
      <c r="E6" s="1"/>
      <c r="F6" s="1"/>
      <c r="G6" s="1"/>
      <c r="H6" s="4"/>
      <c r="J6" s="61" t="s">
        <v>41</v>
      </c>
      <c r="K6" s="62"/>
      <c r="L6" s="62"/>
      <c r="M6" s="62"/>
      <c r="N6" s="63"/>
      <c r="P6" s="45" t="s">
        <v>66</v>
      </c>
      <c r="Q6" s="45"/>
      <c r="R6" s="45"/>
    </row>
    <row r="7" spans="1:18" ht="18.3" thickBot="1" x14ac:dyDescent="0.55000000000000004">
      <c r="A7" s="53"/>
      <c r="B7" s="1"/>
      <c r="C7" s="1"/>
      <c r="D7" s="1"/>
      <c r="E7" s="1"/>
      <c r="F7" s="1"/>
      <c r="G7" s="1"/>
      <c r="H7" s="4"/>
      <c r="J7" s="16" t="s">
        <v>24</v>
      </c>
      <c r="K7" s="17" t="s">
        <v>23</v>
      </c>
      <c r="L7" s="17" t="s">
        <v>42</v>
      </c>
      <c r="M7" s="18" t="s">
        <v>41</v>
      </c>
      <c r="N7" s="19"/>
      <c r="P7" s="44" t="s">
        <v>32</v>
      </c>
      <c r="Q7" s="44" t="s">
        <v>63</v>
      </c>
      <c r="R7" s="1"/>
    </row>
    <row r="8" spans="1:18" x14ac:dyDescent="0.5">
      <c r="A8" s="53"/>
      <c r="B8" s="1"/>
      <c r="C8" s="1"/>
      <c r="D8" s="1"/>
      <c r="E8" s="1"/>
      <c r="F8" s="1"/>
      <c r="G8" s="1"/>
      <c r="H8" s="4"/>
      <c r="J8" s="12" t="s">
        <v>11</v>
      </c>
      <c r="K8" s="3">
        <f>COUNTIFS($A$1:$A$100,"&gt;=2024/1/1",$A$1:$A$100,"&lt;=2024/1/31")</f>
        <v>0</v>
      </c>
      <c r="L8" s="3">
        <f>COUNTIFS($A$1:$A$100,"&gt;=2024/1/1",$A$1:$A$100,"&lt;=2024/1/31",$E$1:$E$100,"×")</f>
        <v>0</v>
      </c>
      <c r="M8" s="74" t="str">
        <f>IFERROR(L8/K8, "-")</f>
        <v>-</v>
      </c>
      <c r="N8" s="75"/>
      <c r="P8" s="1" t="s">
        <v>9</v>
      </c>
      <c r="Q8" s="1" t="s">
        <v>61</v>
      </c>
      <c r="R8" s="1"/>
    </row>
    <row r="9" spans="1:18" x14ac:dyDescent="0.5">
      <c r="A9" s="53"/>
      <c r="B9" s="1"/>
      <c r="C9" s="1"/>
      <c r="D9" s="1"/>
      <c r="E9" s="1"/>
      <c r="F9" s="1"/>
      <c r="G9" s="1"/>
      <c r="H9" s="4"/>
      <c r="J9" s="5" t="s">
        <v>12</v>
      </c>
      <c r="K9" s="3">
        <f>COUNTIFS($A$1:$A$100,"&gt;=2024/2/1",$A$1:$A$100,"&lt;=2024/2/29")</f>
        <v>0</v>
      </c>
      <c r="L9" s="1">
        <f>COUNTIFS($A$1:$A$100,"&gt;=2024/2/1",$A$1:$A$100,"&lt;=2024/2/28",$E$1:$E$100,"×")</f>
        <v>0</v>
      </c>
      <c r="M9" s="76" t="str">
        <f t="shared" ref="M9:M19" si="0">IFERROR(L9/K9, "-")</f>
        <v>-</v>
      </c>
      <c r="N9" s="77"/>
      <c r="P9" s="1" t="s">
        <v>49</v>
      </c>
      <c r="Q9" s="1" t="s">
        <v>62</v>
      </c>
      <c r="R9" s="1"/>
    </row>
    <row r="10" spans="1:18" x14ac:dyDescent="0.5">
      <c r="A10" s="5"/>
      <c r="B10" s="1"/>
      <c r="C10" s="1"/>
      <c r="D10" s="1"/>
      <c r="E10" s="1"/>
      <c r="F10" s="1"/>
      <c r="G10" s="1"/>
      <c r="H10" s="4"/>
      <c r="J10" s="5" t="s">
        <v>13</v>
      </c>
      <c r="K10" s="3">
        <f>COUNTIFS($A$1:$A$100,"&gt;=2024/3/1",$A$1:$A$100,"&lt;=2024/3/31")</f>
        <v>0</v>
      </c>
      <c r="L10" s="1">
        <f>COUNTIFS($A$1:$A$100,"&gt;=2024/3/1",$A$1:$A$100,"&lt;=2024/3/31",$E$1:$E$100,"×")</f>
        <v>0</v>
      </c>
      <c r="M10" s="76" t="str">
        <f t="shared" si="0"/>
        <v>-</v>
      </c>
      <c r="N10" s="77"/>
    </row>
    <row r="11" spans="1:18" x14ac:dyDescent="0.5">
      <c r="A11" s="5"/>
      <c r="B11" s="1"/>
      <c r="C11" s="1"/>
      <c r="D11" s="1"/>
      <c r="E11" s="1"/>
      <c r="F11" s="1"/>
      <c r="G11" s="1"/>
      <c r="H11" s="4"/>
      <c r="J11" s="5" t="s">
        <v>14</v>
      </c>
      <c r="K11" s="3">
        <f>COUNTIFS($A$1:$A$100,"&gt;=2024/4/1",$A$1:$A$100,"&lt;=2024/4/30")</f>
        <v>0</v>
      </c>
      <c r="L11" s="1">
        <f>COUNTIFS($A$1:$A$100,"&gt;=2024/4/1",$A$1:$A$100,"&lt;=2024/4/30",$E$1:$E$100,"×")</f>
        <v>0</v>
      </c>
      <c r="M11" s="76" t="str">
        <f t="shared" si="0"/>
        <v>-</v>
      </c>
      <c r="N11" s="77"/>
    </row>
    <row r="12" spans="1:18" x14ac:dyDescent="0.5">
      <c r="A12" s="14"/>
      <c r="B12" s="1"/>
      <c r="C12" s="3"/>
      <c r="D12" s="3"/>
      <c r="E12" s="1"/>
      <c r="F12" s="3"/>
      <c r="G12" s="3"/>
      <c r="H12" s="13"/>
      <c r="J12" s="5" t="s">
        <v>15</v>
      </c>
      <c r="K12" s="1">
        <f>COUNTIFS($A$1:$A$100,"&gt;=2024/5/1",$A$1:$A$100,"&lt;=2024/5/31")</f>
        <v>0</v>
      </c>
      <c r="L12" s="1">
        <f>COUNTIFS($A$1:$A$100,"&gt;=2024/5/1",$A$1:$A$100,"&lt;=2024/5/31",$E$1:$E$100,"×")</f>
        <v>0</v>
      </c>
      <c r="M12" s="76" t="str">
        <f t="shared" si="0"/>
        <v>-</v>
      </c>
      <c r="N12" s="77"/>
    </row>
    <row r="13" spans="1:18" x14ac:dyDescent="0.5">
      <c r="A13" s="9"/>
      <c r="B13" s="1"/>
      <c r="C13" s="1"/>
      <c r="D13" s="1"/>
      <c r="E13" s="1"/>
      <c r="F13" s="1"/>
      <c r="G13" s="1"/>
      <c r="H13" s="4"/>
      <c r="J13" s="5" t="s">
        <v>16</v>
      </c>
      <c r="K13" s="1">
        <f>COUNTIFS($A$1:$A$100,"&gt;=2024/6/1",$A$1:$A$100,"&lt;=2024/6/30")</f>
        <v>0</v>
      </c>
      <c r="L13" s="1">
        <f>COUNTIFS($A$1:$A$100,"&gt;=2024/6/1",$A$1:$A$100,"&lt;=2024/6/31",$E$1:$E$100,"×")</f>
        <v>0</v>
      </c>
      <c r="M13" s="76" t="str">
        <f t="shared" si="0"/>
        <v>-</v>
      </c>
      <c r="N13" s="77"/>
    </row>
    <row r="14" spans="1:18" x14ac:dyDescent="0.5">
      <c r="A14" s="9"/>
      <c r="B14" s="1"/>
      <c r="C14" s="1"/>
      <c r="D14" s="1"/>
      <c r="E14" s="1"/>
      <c r="F14" s="1"/>
      <c r="G14" s="1"/>
      <c r="H14" s="4"/>
      <c r="J14" s="5" t="s">
        <v>17</v>
      </c>
      <c r="K14" s="1">
        <f>COUNTIFS($A$1:$A$100,"&gt;=2024/7/1",$A$1:$A$100,"&lt;=2024/7/31")</f>
        <v>0</v>
      </c>
      <c r="L14" s="1">
        <f>COUNTIFS($A$1:$A$100,"&gt;=2024/7/1",$A$1:$A$100,"&lt;=2024/7/31",$E$1:$E$100,"×")</f>
        <v>0</v>
      </c>
      <c r="M14" s="76" t="str">
        <f t="shared" si="0"/>
        <v>-</v>
      </c>
      <c r="N14" s="77"/>
    </row>
    <row r="15" spans="1:18" x14ac:dyDescent="0.5">
      <c r="A15" s="9"/>
      <c r="B15" s="1"/>
      <c r="C15" s="1"/>
      <c r="D15" s="1"/>
      <c r="E15" s="1"/>
      <c r="F15" s="1"/>
      <c r="G15" s="1"/>
      <c r="H15" s="4"/>
      <c r="J15" s="5" t="s">
        <v>18</v>
      </c>
      <c r="K15" s="1">
        <f>COUNTIFS($A$1:$A$100,"&gt;=2024/8/1",$A$1:$A$100,"&lt;=2024/8/31")</f>
        <v>0</v>
      </c>
      <c r="L15" s="1">
        <f>COUNTIFS($A$1:$A$100,"&gt;=2024/8/1",$A$1:$A$100,"&lt;=2024/8/31",$E$1:$E$100,"×")</f>
        <v>0</v>
      </c>
      <c r="M15" s="76" t="str">
        <f t="shared" si="0"/>
        <v>-</v>
      </c>
      <c r="N15" s="77"/>
    </row>
    <row r="16" spans="1:18" x14ac:dyDescent="0.5">
      <c r="A16" s="9"/>
      <c r="B16" s="1"/>
      <c r="C16" s="1"/>
      <c r="D16" s="1"/>
      <c r="E16" s="1"/>
      <c r="F16" s="1"/>
      <c r="G16" s="1"/>
      <c r="H16" s="4"/>
      <c r="J16" s="5" t="s">
        <v>19</v>
      </c>
      <c r="K16" s="1">
        <f>COUNTIFS($A$1:$A$100,"&gt;=2024/9/1",$A$1:$A$100,"&lt;=2024/9/30")</f>
        <v>0</v>
      </c>
      <c r="L16" s="1">
        <f>COUNTIFS($A$1:$A$100,"&gt;=2024/9/1",$A$1:$A$100,"&lt;=2024/9/30",$E$1:$E$100,"×")</f>
        <v>0</v>
      </c>
      <c r="M16" s="76" t="str">
        <f t="shared" si="0"/>
        <v>-</v>
      </c>
      <c r="N16" s="77"/>
    </row>
    <row r="17" spans="1:14" x14ac:dyDescent="0.5">
      <c r="A17" s="9"/>
      <c r="B17" s="1"/>
      <c r="C17" s="1"/>
      <c r="D17" s="1"/>
      <c r="E17" s="1"/>
      <c r="F17" s="1"/>
      <c r="G17" s="1"/>
      <c r="H17" s="4"/>
      <c r="J17" s="5" t="s">
        <v>20</v>
      </c>
      <c r="K17" s="1">
        <f>COUNTIFS($A$1:$A$100,"&gt;=2024/10/1",$A$1:$A$100,"&lt;=2024/10/31")</f>
        <v>0</v>
      </c>
      <c r="L17" s="1">
        <f>COUNTIFS($A$1:$A$100,"&gt;=2024/9/1",$A$1:$A$100,"&lt;=2024/9/30",$E$1:$E$100,"×")</f>
        <v>0</v>
      </c>
      <c r="M17" s="76" t="str">
        <f t="shared" si="0"/>
        <v>-</v>
      </c>
      <c r="N17" s="77"/>
    </row>
    <row r="18" spans="1:14" x14ac:dyDescent="0.5">
      <c r="A18" s="9"/>
      <c r="B18" s="1"/>
      <c r="C18" s="1"/>
      <c r="D18" s="1"/>
      <c r="E18" s="1"/>
      <c r="F18" s="1"/>
      <c r="G18" s="1"/>
      <c r="H18" s="4"/>
      <c r="J18" s="5" t="s">
        <v>21</v>
      </c>
      <c r="K18" s="1">
        <f>COUNTIFS($A$1:$A$100,"&gt;=2024/11/1",$A$1:$A$100,"&lt;=2024/11/30")</f>
        <v>0</v>
      </c>
      <c r="L18" s="1">
        <f>COUNTIFS($A$1:$A$100,"&gt;=2024/11/1",$A$1:$A$100,"&lt;=2024/11/30",$E$1:$E$100,"×")</f>
        <v>0</v>
      </c>
      <c r="M18" s="76" t="str">
        <f t="shared" si="0"/>
        <v>-</v>
      </c>
      <c r="N18" s="77"/>
    </row>
    <row r="19" spans="1:14" ht="18.3" thickBot="1" x14ac:dyDescent="0.55000000000000004">
      <c r="A19" s="9"/>
      <c r="B19" s="1"/>
      <c r="C19" s="1"/>
      <c r="D19" s="1"/>
      <c r="E19" s="1"/>
      <c r="F19" s="1"/>
      <c r="G19" s="1"/>
      <c r="H19" s="4"/>
      <c r="J19" s="6" t="s">
        <v>22</v>
      </c>
      <c r="K19" s="7">
        <f>COUNTIFS($A$1:$A$100,"&gt;=2024/12/1",$A$1:$A$100,"&lt;=2024/12/31")</f>
        <v>0</v>
      </c>
      <c r="L19" s="7">
        <f>COUNTIFS($A$1:$A$100,"&gt;=2024/12/1",$A$1:$A$100,"&lt;=2024/12/31",$E$1:$E$100,"×")</f>
        <v>0</v>
      </c>
      <c r="M19" s="78" t="str">
        <f t="shared" si="0"/>
        <v>-</v>
      </c>
      <c r="N19" s="79"/>
    </row>
    <row r="20" spans="1:14" ht="18.3" thickBot="1" x14ac:dyDescent="0.55000000000000004">
      <c r="A20" s="9"/>
      <c r="B20" s="1"/>
      <c r="C20" s="1"/>
      <c r="D20" s="1"/>
      <c r="E20" s="1"/>
      <c r="F20" s="1"/>
      <c r="G20" s="1"/>
      <c r="H20" s="4"/>
    </row>
    <row r="21" spans="1:14" x14ac:dyDescent="0.5">
      <c r="A21" s="9"/>
      <c r="B21" s="1"/>
      <c r="C21" s="1"/>
      <c r="D21" s="1"/>
      <c r="E21" s="1"/>
      <c r="F21" s="1"/>
      <c r="G21" s="1"/>
      <c r="H21" s="4"/>
      <c r="J21" s="67" t="s">
        <v>34</v>
      </c>
      <c r="K21" s="68"/>
      <c r="L21" s="68"/>
      <c r="M21" s="68"/>
      <c r="N21" s="69"/>
    </row>
    <row r="22" spans="1:14" ht="18.3" thickBot="1" x14ac:dyDescent="0.55000000000000004">
      <c r="A22" s="9"/>
      <c r="B22" s="1"/>
      <c r="C22" s="1"/>
      <c r="D22" s="1"/>
      <c r="E22" s="1"/>
      <c r="F22" s="1"/>
      <c r="G22" s="1"/>
      <c r="H22" s="4"/>
      <c r="J22" s="20" t="s">
        <v>25</v>
      </c>
      <c r="K22" s="21"/>
      <c r="L22" s="22" t="s">
        <v>31</v>
      </c>
      <c r="M22" s="72" t="s">
        <v>60</v>
      </c>
      <c r="N22" s="73"/>
    </row>
    <row r="23" spans="1:14" x14ac:dyDescent="0.5">
      <c r="A23" s="9"/>
      <c r="B23" s="1"/>
      <c r="C23" s="1"/>
      <c r="D23" s="1"/>
      <c r="E23" s="1"/>
      <c r="F23" s="1"/>
      <c r="G23" s="1"/>
      <c r="H23" s="4"/>
      <c r="J23" s="14" t="s">
        <v>29</v>
      </c>
      <c r="K23" s="15"/>
      <c r="L23" s="3">
        <f>COUNTIF(F:F, "介入理由が無い、なくなった（症状改善等）")</f>
        <v>0</v>
      </c>
      <c r="M23" s="70" t="str">
        <f>IFERROR(L23/K$4, "-")</f>
        <v>-</v>
      </c>
      <c r="N23" s="71"/>
    </row>
    <row r="24" spans="1:14" x14ac:dyDescent="0.5">
      <c r="A24" s="9"/>
      <c r="B24" s="1"/>
      <c r="C24" s="1"/>
      <c r="D24" s="1"/>
      <c r="E24" s="1"/>
      <c r="F24" s="1"/>
      <c r="G24" s="1"/>
      <c r="H24" s="4"/>
      <c r="J24" s="9" t="s">
        <v>30</v>
      </c>
      <c r="K24" s="2"/>
      <c r="L24" s="1">
        <f>COUNTIF(F:F, "介入に嫌悪・不安感（心理的ハードル）")</f>
        <v>0</v>
      </c>
      <c r="M24" s="70" t="str">
        <f t="shared" ref="M24:M27" si="1">IFERROR(L24/K$4, "-")</f>
        <v>-</v>
      </c>
      <c r="N24" s="71"/>
    </row>
    <row r="25" spans="1:14" x14ac:dyDescent="0.5">
      <c r="A25" s="9"/>
      <c r="B25" s="1"/>
      <c r="C25" s="1"/>
      <c r="D25" s="1"/>
      <c r="E25" s="1"/>
      <c r="F25" s="1"/>
      <c r="G25" s="1"/>
      <c r="H25" s="4"/>
      <c r="J25" s="9" t="s">
        <v>26</v>
      </c>
      <c r="K25" s="2"/>
      <c r="L25" s="1">
        <f>COUNTIF(F:F, "入院・他施設への入居・ご逝去（不可抗力）")</f>
        <v>0</v>
      </c>
      <c r="M25" s="70" t="str">
        <f t="shared" si="1"/>
        <v>-</v>
      </c>
      <c r="N25" s="71"/>
    </row>
    <row r="26" spans="1:14" x14ac:dyDescent="0.5">
      <c r="A26" s="9"/>
      <c r="B26" s="1"/>
      <c r="C26" s="1"/>
      <c r="D26" s="1"/>
      <c r="E26" s="1"/>
      <c r="F26" s="1"/>
      <c r="G26" s="1"/>
      <c r="H26" s="4"/>
      <c r="J26" s="9" t="s">
        <v>28</v>
      </c>
      <c r="K26" s="2"/>
      <c r="L26" s="1">
        <f>COUNTIF(F:F, "指示書を出してもらえず")</f>
        <v>0</v>
      </c>
      <c r="M26" s="70" t="str">
        <f t="shared" si="1"/>
        <v>-</v>
      </c>
      <c r="N26" s="71"/>
    </row>
    <row r="27" spans="1:14" ht="18.3" thickBot="1" x14ac:dyDescent="0.55000000000000004">
      <c r="A27" s="9"/>
      <c r="B27" s="1"/>
      <c r="C27" s="1"/>
      <c r="D27" s="1"/>
      <c r="E27" s="1"/>
      <c r="F27" s="1"/>
      <c r="G27" s="1"/>
      <c r="H27" s="4"/>
      <c r="J27" s="10" t="s">
        <v>27</v>
      </c>
      <c r="K27" s="11"/>
      <c r="L27" s="7">
        <f>COUNTIF(F:F, "その他")</f>
        <v>0</v>
      </c>
      <c r="M27" s="86" t="str">
        <f t="shared" si="1"/>
        <v>-</v>
      </c>
      <c r="N27" s="87"/>
    </row>
    <row r="28" spans="1:14" ht="18.3" thickBot="1" x14ac:dyDescent="0.55000000000000004">
      <c r="A28" s="9"/>
      <c r="B28" s="1"/>
      <c r="C28" s="1"/>
      <c r="D28" s="1"/>
      <c r="E28" s="1"/>
      <c r="F28" s="1"/>
      <c r="G28" s="1"/>
      <c r="H28" s="4"/>
    </row>
    <row r="29" spans="1:14" x14ac:dyDescent="0.5">
      <c r="A29" s="9"/>
      <c r="B29" s="1"/>
      <c r="C29" s="1"/>
      <c r="D29" s="1"/>
      <c r="E29" s="1"/>
      <c r="F29" s="1"/>
      <c r="G29" s="1"/>
      <c r="H29" s="4"/>
      <c r="J29" s="83" t="s">
        <v>77</v>
      </c>
      <c r="K29" s="84"/>
      <c r="L29" s="85"/>
    </row>
    <row r="30" spans="1:14" ht="18.3" thickBot="1" x14ac:dyDescent="0.55000000000000004">
      <c r="A30" s="9"/>
      <c r="B30" s="1"/>
      <c r="C30" s="1"/>
      <c r="D30" s="1"/>
      <c r="E30" s="1"/>
      <c r="F30" s="1"/>
      <c r="G30" s="1"/>
      <c r="H30" s="4"/>
      <c r="J30" s="28" t="s">
        <v>35</v>
      </c>
      <c r="K30" s="29" t="s">
        <v>31</v>
      </c>
      <c r="L30" s="30" t="s">
        <v>43</v>
      </c>
    </row>
    <row r="31" spans="1:14" x14ac:dyDescent="0.5">
      <c r="A31" s="9"/>
      <c r="B31" s="1"/>
      <c r="C31" s="1"/>
      <c r="D31" s="1"/>
      <c r="E31" s="1"/>
      <c r="F31" s="1"/>
      <c r="G31" s="1"/>
      <c r="H31" s="4"/>
      <c r="J31" s="12" t="s">
        <v>6</v>
      </c>
      <c r="K31" s="3">
        <f>COUNTIF(H:H, "医療")</f>
        <v>0</v>
      </c>
      <c r="L31" s="27" t="str">
        <f>IFERROR(K31/J$4, "-")</f>
        <v>-</v>
      </c>
    </row>
    <row r="32" spans="1:14" x14ac:dyDescent="0.5">
      <c r="A32" s="9"/>
      <c r="B32" s="1"/>
      <c r="C32" s="1"/>
      <c r="D32" s="1"/>
      <c r="E32" s="1"/>
      <c r="F32" s="1"/>
      <c r="G32" s="1"/>
      <c r="H32" s="4"/>
      <c r="J32" s="5" t="s">
        <v>7</v>
      </c>
      <c r="K32" s="1">
        <f>COUNTIF(H:H, "介護")</f>
        <v>0</v>
      </c>
      <c r="L32" s="27" t="str">
        <f>IFERROR(K32/J$4, "-")</f>
        <v>-</v>
      </c>
    </row>
    <row r="33" spans="1:12" x14ac:dyDescent="0.5">
      <c r="A33" s="9"/>
      <c r="B33" s="1"/>
      <c r="C33" s="1"/>
      <c r="D33" s="1"/>
      <c r="E33" s="1"/>
      <c r="F33" s="1"/>
      <c r="G33" s="1"/>
      <c r="H33" s="4"/>
      <c r="J33" s="5" t="s">
        <v>36</v>
      </c>
      <c r="K33" s="1">
        <f>COUNTIF(H:H, "医・介")</f>
        <v>0</v>
      </c>
      <c r="L33" s="27" t="str">
        <f>IFERROR(K33/J$4, "-")</f>
        <v>-</v>
      </c>
    </row>
    <row r="34" spans="1:12" x14ac:dyDescent="0.5">
      <c r="A34" s="9"/>
      <c r="B34" s="1"/>
      <c r="C34" s="1"/>
      <c r="D34" s="1"/>
      <c r="E34" s="1"/>
      <c r="F34" s="1"/>
      <c r="G34" s="1"/>
      <c r="H34" s="4"/>
      <c r="J34" s="5" t="s">
        <v>8</v>
      </c>
      <c r="K34" s="1">
        <f>COUNTIF(H:H, "不明")</f>
        <v>0</v>
      </c>
      <c r="L34" s="27" t="str">
        <f>IFERROR(K34/J$4, "-")</f>
        <v>-</v>
      </c>
    </row>
    <row r="35" spans="1:12" ht="18.3" thickBot="1" x14ac:dyDescent="0.55000000000000004">
      <c r="A35" s="9"/>
      <c r="B35" s="1"/>
      <c r="C35" s="1"/>
      <c r="D35" s="1"/>
      <c r="E35" s="1"/>
      <c r="F35" s="1"/>
      <c r="G35" s="1"/>
      <c r="H35" s="4"/>
      <c r="J35" s="6" t="s">
        <v>10</v>
      </c>
      <c r="K35" s="7">
        <f>COUNTIF(H:H, "自費")</f>
        <v>0</v>
      </c>
      <c r="L35" s="31" t="str">
        <f>IFERROR(K35/J$4, "-")</f>
        <v>-</v>
      </c>
    </row>
    <row r="36" spans="1:12" x14ac:dyDescent="0.5">
      <c r="A36" s="9"/>
      <c r="B36" s="1"/>
      <c r="C36" s="1"/>
      <c r="D36" s="1"/>
      <c r="E36" s="1"/>
      <c r="F36" s="1"/>
      <c r="G36" s="1"/>
      <c r="H36" s="4"/>
    </row>
    <row r="37" spans="1:12" x14ac:dyDescent="0.5">
      <c r="A37" s="9"/>
      <c r="B37" s="1"/>
      <c r="C37" s="1"/>
      <c r="D37" s="1"/>
      <c r="E37" s="1"/>
      <c r="F37" s="1"/>
      <c r="G37" s="1"/>
      <c r="H37" s="4"/>
    </row>
    <row r="38" spans="1:12" x14ac:dyDescent="0.5">
      <c r="A38" s="9"/>
      <c r="B38" s="1"/>
      <c r="C38" s="1"/>
      <c r="D38" s="1"/>
      <c r="E38" s="1"/>
      <c r="F38" s="1"/>
      <c r="G38" s="1"/>
      <c r="H38" s="4"/>
    </row>
    <row r="39" spans="1:12" x14ac:dyDescent="0.5">
      <c r="A39" s="9"/>
      <c r="B39" s="1"/>
      <c r="C39" s="1"/>
      <c r="D39" s="1"/>
      <c r="E39" s="1"/>
      <c r="F39" s="1"/>
      <c r="G39" s="1"/>
      <c r="H39" s="4"/>
    </row>
    <row r="40" spans="1:12" x14ac:dyDescent="0.5">
      <c r="A40" s="9"/>
      <c r="B40" s="1"/>
      <c r="C40" s="1"/>
      <c r="D40" s="1"/>
      <c r="E40" s="1"/>
      <c r="F40" s="1"/>
      <c r="G40" s="1"/>
      <c r="H40" s="4"/>
    </row>
    <row r="41" spans="1:12" x14ac:dyDescent="0.5">
      <c r="A41" s="9"/>
      <c r="B41" s="1"/>
      <c r="C41" s="1"/>
      <c r="D41" s="1"/>
      <c r="E41" s="1"/>
      <c r="F41" s="1"/>
      <c r="G41" s="1"/>
      <c r="H41" s="4"/>
    </row>
    <row r="42" spans="1:12" x14ac:dyDescent="0.5">
      <c r="A42" s="9"/>
      <c r="B42" s="1"/>
      <c r="C42" s="1"/>
      <c r="D42" s="1"/>
      <c r="E42" s="1"/>
      <c r="F42" s="1"/>
      <c r="G42" s="1"/>
      <c r="H42" s="4"/>
    </row>
    <row r="43" spans="1:12" x14ac:dyDescent="0.5">
      <c r="A43" s="9"/>
      <c r="B43" s="1"/>
      <c r="C43" s="1"/>
      <c r="D43" s="1"/>
      <c r="E43" s="1"/>
      <c r="F43" s="1"/>
      <c r="G43" s="1"/>
      <c r="H43" s="4"/>
    </row>
    <row r="44" spans="1:12" x14ac:dyDescent="0.5">
      <c r="A44" s="9"/>
      <c r="B44" s="1"/>
      <c r="C44" s="1"/>
      <c r="D44" s="1"/>
      <c r="E44" s="1"/>
      <c r="F44" s="1"/>
      <c r="G44" s="1"/>
      <c r="H44" s="4"/>
    </row>
    <row r="45" spans="1:12" x14ac:dyDescent="0.5">
      <c r="A45" s="9"/>
      <c r="B45" s="1"/>
      <c r="C45" s="1"/>
      <c r="D45" s="1"/>
      <c r="E45" s="1"/>
      <c r="F45" s="1"/>
      <c r="G45" s="1"/>
      <c r="H45" s="4"/>
    </row>
    <row r="46" spans="1:12" x14ac:dyDescent="0.5">
      <c r="A46" s="9"/>
      <c r="B46" s="1"/>
      <c r="C46" s="1"/>
      <c r="D46" s="1"/>
      <c r="E46" s="1"/>
      <c r="F46" s="1"/>
      <c r="G46" s="1"/>
      <c r="H46" s="4"/>
    </row>
    <row r="47" spans="1:12" x14ac:dyDescent="0.5">
      <c r="A47" s="9"/>
      <c r="B47" s="1"/>
      <c r="C47" s="1"/>
      <c r="D47" s="1"/>
      <c r="E47" s="1"/>
      <c r="F47" s="1"/>
      <c r="G47" s="1"/>
      <c r="H47" s="4"/>
    </row>
    <row r="48" spans="1:12" x14ac:dyDescent="0.5">
      <c r="A48" s="9"/>
      <c r="B48" s="1"/>
      <c r="C48" s="1"/>
      <c r="D48" s="1"/>
      <c r="E48" s="1"/>
      <c r="F48" s="1"/>
      <c r="G48" s="1"/>
      <c r="H48" s="4"/>
    </row>
    <row r="49" spans="1:8" x14ac:dyDescent="0.5">
      <c r="A49" s="9"/>
      <c r="B49" s="1"/>
      <c r="C49" s="1"/>
      <c r="D49" s="1"/>
      <c r="E49" s="1"/>
      <c r="F49" s="1"/>
      <c r="G49" s="1"/>
      <c r="H49" s="4"/>
    </row>
    <row r="50" spans="1:8" x14ac:dyDescent="0.5">
      <c r="A50" s="9"/>
      <c r="B50" s="1"/>
      <c r="C50" s="1"/>
      <c r="D50" s="1"/>
      <c r="E50" s="1"/>
      <c r="F50" s="1"/>
      <c r="G50" s="1"/>
      <c r="H50" s="4"/>
    </row>
    <row r="51" spans="1:8" x14ac:dyDescent="0.5">
      <c r="A51" s="9"/>
      <c r="B51" s="1"/>
      <c r="C51" s="1"/>
      <c r="D51" s="1"/>
      <c r="E51" s="1"/>
      <c r="F51" s="1"/>
      <c r="G51" s="1"/>
      <c r="H51" s="4"/>
    </row>
    <row r="52" spans="1:8" x14ac:dyDescent="0.5">
      <c r="A52" s="9"/>
      <c r="B52" s="1"/>
      <c r="C52" s="1"/>
      <c r="D52" s="1"/>
      <c r="E52" s="1"/>
      <c r="F52" s="1"/>
      <c r="G52" s="1"/>
      <c r="H52" s="4"/>
    </row>
    <row r="53" spans="1:8" x14ac:dyDescent="0.5">
      <c r="A53" s="9"/>
      <c r="B53" s="1"/>
      <c r="C53" s="1"/>
      <c r="D53" s="1"/>
      <c r="E53" s="1"/>
      <c r="F53" s="1"/>
      <c r="G53" s="1"/>
      <c r="H53" s="4"/>
    </row>
    <row r="54" spans="1:8" x14ac:dyDescent="0.5">
      <c r="A54" s="9"/>
      <c r="B54" s="1"/>
      <c r="C54" s="1"/>
      <c r="D54" s="1"/>
      <c r="E54" s="1"/>
      <c r="F54" s="1"/>
      <c r="G54" s="1"/>
      <c r="H54" s="4"/>
    </row>
    <row r="55" spans="1:8" x14ac:dyDescent="0.5">
      <c r="A55" s="9"/>
      <c r="B55" s="1"/>
      <c r="C55" s="1"/>
      <c r="D55" s="1"/>
      <c r="E55" s="1"/>
      <c r="F55" s="1"/>
      <c r="G55" s="1"/>
      <c r="H55" s="4"/>
    </row>
    <row r="56" spans="1:8" x14ac:dyDescent="0.5">
      <c r="A56" s="9"/>
      <c r="B56" s="1"/>
      <c r="C56" s="1"/>
      <c r="D56" s="1"/>
      <c r="E56" s="1"/>
      <c r="F56" s="1"/>
      <c r="G56" s="1"/>
      <c r="H56" s="4"/>
    </row>
    <row r="57" spans="1:8" x14ac:dyDescent="0.5">
      <c r="A57" s="9"/>
      <c r="B57" s="1"/>
      <c r="C57" s="1"/>
      <c r="D57" s="1"/>
      <c r="E57" s="1"/>
      <c r="F57" s="1"/>
      <c r="G57" s="1"/>
      <c r="H57" s="4"/>
    </row>
    <row r="58" spans="1:8" x14ac:dyDescent="0.5">
      <c r="A58" s="9"/>
      <c r="B58" s="1"/>
      <c r="C58" s="1"/>
      <c r="D58" s="1"/>
      <c r="E58" s="1"/>
      <c r="F58" s="1"/>
      <c r="G58" s="1"/>
      <c r="H58" s="4"/>
    </row>
    <row r="59" spans="1:8" x14ac:dyDescent="0.5">
      <c r="A59" s="9"/>
      <c r="B59" s="1"/>
      <c r="C59" s="1"/>
      <c r="D59" s="1"/>
      <c r="E59" s="1"/>
      <c r="F59" s="1"/>
      <c r="G59" s="1"/>
      <c r="H59" s="4"/>
    </row>
    <row r="60" spans="1:8" x14ac:dyDescent="0.5">
      <c r="A60" s="9"/>
      <c r="B60" s="1"/>
      <c r="C60" s="1"/>
      <c r="D60" s="1"/>
      <c r="E60" s="1"/>
      <c r="F60" s="1"/>
      <c r="G60" s="1"/>
      <c r="H60" s="4"/>
    </row>
    <row r="61" spans="1:8" x14ac:dyDescent="0.5">
      <c r="A61" s="9"/>
      <c r="B61" s="1"/>
      <c r="C61" s="1"/>
      <c r="D61" s="1"/>
      <c r="E61" s="1"/>
      <c r="F61" s="1"/>
      <c r="G61" s="1"/>
      <c r="H61" s="4"/>
    </row>
    <row r="62" spans="1:8" x14ac:dyDescent="0.5">
      <c r="A62" s="9"/>
      <c r="B62" s="1"/>
      <c r="C62" s="1"/>
      <c r="D62" s="1"/>
      <c r="E62" s="1"/>
      <c r="F62" s="1"/>
      <c r="G62" s="1"/>
      <c r="H62" s="4"/>
    </row>
    <row r="63" spans="1:8" x14ac:dyDescent="0.5">
      <c r="A63" s="9"/>
      <c r="B63" s="1"/>
      <c r="C63" s="1"/>
      <c r="D63" s="1"/>
      <c r="E63" s="1"/>
      <c r="F63" s="1"/>
      <c r="G63" s="1"/>
      <c r="H63" s="4"/>
    </row>
    <row r="64" spans="1:8" x14ac:dyDescent="0.5">
      <c r="A64" s="9"/>
      <c r="B64" s="1"/>
      <c r="C64" s="1"/>
      <c r="D64" s="1"/>
      <c r="E64" s="1"/>
      <c r="F64" s="1"/>
      <c r="G64" s="1"/>
      <c r="H64" s="4"/>
    </row>
    <row r="65" spans="1:8" x14ac:dyDescent="0.5">
      <c r="A65" s="9"/>
      <c r="B65" s="1"/>
      <c r="C65" s="1"/>
      <c r="D65" s="1"/>
      <c r="E65" s="1"/>
      <c r="F65" s="1"/>
      <c r="G65" s="1"/>
      <c r="H65" s="4"/>
    </row>
    <row r="66" spans="1:8" x14ac:dyDescent="0.5">
      <c r="A66" s="9"/>
      <c r="B66" s="1"/>
      <c r="C66" s="1"/>
      <c r="D66" s="1"/>
      <c r="E66" s="1"/>
      <c r="F66" s="1"/>
      <c r="G66" s="1"/>
      <c r="H66" s="4"/>
    </row>
    <row r="67" spans="1:8" x14ac:dyDescent="0.5">
      <c r="A67" s="9"/>
      <c r="B67" s="1"/>
      <c r="C67" s="1"/>
      <c r="D67" s="1"/>
      <c r="E67" s="1"/>
      <c r="F67" s="1"/>
      <c r="G67" s="1"/>
      <c r="H67" s="4"/>
    </row>
    <row r="68" spans="1:8" x14ac:dyDescent="0.5">
      <c r="A68" s="9"/>
      <c r="B68" s="1"/>
      <c r="C68" s="1"/>
      <c r="D68" s="1"/>
      <c r="E68" s="1"/>
      <c r="F68" s="1"/>
      <c r="G68" s="1"/>
      <c r="H68" s="4"/>
    </row>
    <row r="69" spans="1:8" x14ac:dyDescent="0.5">
      <c r="A69" s="9"/>
      <c r="B69" s="1"/>
      <c r="C69" s="1"/>
      <c r="D69" s="1"/>
      <c r="E69" s="1"/>
      <c r="F69" s="1"/>
      <c r="G69" s="1"/>
      <c r="H69" s="4"/>
    </row>
    <row r="70" spans="1:8" x14ac:dyDescent="0.5">
      <c r="A70" s="9"/>
      <c r="B70" s="1"/>
      <c r="C70" s="1"/>
      <c r="D70" s="1"/>
      <c r="E70" s="1"/>
      <c r="F70" s="1"/>
      <c r="G70" s="1"/>
      <c r="H70" s="4"/>
    </row>
    <row r="71" spans="1:8" x14ac:dyDescent="0.5">
      <c r="A71" s="9"/>
      <c r="B71" s="1"/>
      <c r="C71" s="1"/>
      <c r="D71" s="1"/>
      <c r="E71" s="1"/>
      <c r="F71" s="1"/>
      <c r="G71" s="1"/>
      <c r="H71" s="4"/>
    </row>
    <row r="72" spans="1:8" x14ac:dyDescent="0.5">
      <c r="A72" s="9"/>
      <c r="B72" s="1"/>
      <c r="C72" s="1"/>
      <c r="D72" s="1"/>
      <c r="E72" s="1"/>
      <c r="F72" s="1"/>
      <c r="G72" s="1"/>
      <c r="H72" s="4"/>
    </row>
    <row r="73" spans="1:8" x14ac:dyDescent="0.5">
      <c r="A73" s="9"/>
      <c r="B73" s="1"/>
      <c r="C73" s="1"/>
      <c r="D73" s="1"/>
      <c r="E73" s="1"/>
      <c r="F73" s="1"/>
      <c r="G73" s="1"/>
      <c r="H73" s="4"/>
    </row>
    <row r="74" spans="1:8" x14ac:dyDescent="0.5">
      <c r="A74" s="9"/>
      <c r="B74" s="1"/>
      <c r="C74" s="1"/>
      <c r="D74" s="1"/>
      <c r="E74" s="1"/>
      <c r="F74" s="1"/>
      <c r="G74" s="1"/>
      <c r="H74" s="4"/>
    </row>
    <row r="75" spans="1:8" x14ac:dyDescent="0.5">
      <c r="A75" s="9"/>
      <c r="B75" s="1"/>
      <c r="C75" s="1"/>
      <c r="D75" s="1"/>
      <c r="E75" s="1"/>
      <c r="F75" s="1"/>
      <c r="G75" s="1"/>
      <c r="H75" s="4"/>
    </row>
    <row r="76" spans="1:8" x14ac:dyDescent="0.5">
      <c r="A76" s="9"/>
      <c r="B76" s="1"/>
      <c r="C76" s="1"/>
      <c r="D76" s="1"/>
      <c r="E76" s="1"/>
      <c r="F76" s="1"/>
      <c r="G76" s="1"/>
      <c r="H76" s="4"/>
    </row>
    <row r="77" spans="1:8" x14ac:dyDescent="0.5">
      <c r="A77" s="9"/>
      <c r="B77" s="1"/>
      <c r="C77" s="1"/>
      <c r="D77" s="1"/>
      <c r="E77" s="1"/>
      <c r="F77" s="1"/>
      <c r="G77" s="1"/>
      <c r="H77" s="4"/>
    </row>
    <row r="78" spans="1:8" x14ac:dyDescent="0.5">
      <c r="A78" s="9"/>
      <c r="B78" s="1"/>
      <c r="C78" s="1"/>
      <c r="D78" s="1"/>
      <c r="E78" s="1"/>
      <c r="F78" s="1"/>
      <c r="G78" s="1"/>
      <c r="H78" s="4"/>
    </row>
    <row r="79" spans="1:8" x14ac:dyDescent="0.5">
      <c r="A79" s="9"/>
      <c r="B79" s="1"/>
      <c r="C79" s="1"/>
      <c r="D79" s="1"/>
      <c r="E79" s="1"/>
      <c r="F79" s="1"/>
      <c r="G79" s="1"/>
      <c r="H79" s="4"/>
    </row>
    <row r="80" spans="1:8" x14ac:dyDescent="0.5">
      <c r="A80" s="9"/>
      <c r="B80" s="1"/>
      <c r="C80" s="1"/>
      <c r="D80" s="1"/>
      <c r="E80" s="1"/>
      <c r="F80" s="1"/>
      <c r="G80" s="1"/>
      <c r="H80" s="4"/>
    </row>
    <row r="81" spans="1:8" x14ac:dyDescent="0.5">
      <c r="A81" s="9"/>
      <c r="B81" s="1"/>
      <c r="C81" s="1"/>
      <c r="D81" s="1"/>
      <c r="E81" s="1"/>
      <c r="F81" s="1"/>
      <c r="G81" s="1"/>
      <c r="H81" s="4"/>
    </row>
    <row r="82" spans="1:8" x14ac:dyDescent="0.5">
      <c r="A82" s="9"/>
      <c r="B82" s="1"/>
      <c r="C82" s="1"/>
      <c r="D82" s="1"/>
      <c r="E82" s="1"/>
      <c r="F82" s="1"/>
      <c r="G82" s="1"/>
      <c r="H82" s="4"/>
    </row>
    <row r="83" spans="1:8" x14ac:dyDescent="0.5">
      <c r="A83" s="9"/>
      <c r="B83" s="1"/>
      <c r="C83" s="1"/>
      <c r="D83" s="1"/>
      <c r="E83" s="1"/>
      <c r="F83" s="1"/>
      <c r="G83" s="1"/>
      <c r="H83" s="4"/>
    </row>
    <row r="84" spans="1:8" x14ac:dyDescent="0.5">
      <c r="A84" s="9"/>
      <c r="B84" s="1"/>
      <c r="C84" s="1"/>
      <c r="D84" s="1"/>
      <c r="E84" s="1"/>
      <c r="F84" s="1"/>
      <c r="G84" s="1"/>
      <c r="H84" s="4"/>
    </row>
    <row r="85" spans="1:8" x14ac:dyDescent="0.5">
      <c r="A85" s="9"/>
      <c r="B85" s="1"/>
      <c r="C85" s="1"/>
      <c r="D85" s="1"/>
      <c r="E85" s="1"/>
      <c r="F85" s="1"/>
      <c r="G85" s="1"/>
      <c r="H85" s="4"/>
    </row>
    <row r="86" spans="1:8" x14ac:dyDescent="0.5">
      <c r="A86" s="9"/>
      <c r="B86" s="1"/>
      <c r="C86" s="1"/>
      <c r="D86" s="1"/>
      <c r="E86" s="1"/>
      <c r="F86" s="1"/>
      <c r="G86" s="1"/>
      <c r="H86" s="4"/>
    </row>
    <row r="87" spans="1:8" x14ac:dyDescent="0.5">
      <c r="A87" s="9"/>
      <c r="B87" s="1"/>
      <c r="C87" s="1"/>
      <c r="D87" s="1"/>
      <c r="E87" s="1"/>
      <c r="F87" s="1"/>
      <c r="G87" s="1"/>
      <c r="H87" s="4"/>
    </row>
    <row r="88" spans="1:8" x14ac:dyDescent="0.5">
      <c r="A88" s="9"/>
      <c r="B88" s="1"/>
      <c r="C88" s="1"/>
      <c r="D88" s="1"/>
      <c r="E88" s="1"/>
      <c r="F88" s="1"/>
      <c r="G88" s="1"/>
      <c r="H88" s="4"/>
    </row>
    <row r="89" spans="1:8" x14ac:dyDescent="0.5">
      <c r="A89" s="9"/>
      <c r="B89" s="1"/>
      <c r="C89" s="1"/>
      <c r="D89" s="1"/>
      <c r="E89" s="1"/>
      <c r="F89" s="1"/>
      <c r="G89" s="1"/>
      <c r="H89" s="4"/>
    </row>
    <row r="90" spans="1:8" x14ac:dyDescent="0.5">
      <c r="A90" s="9"/>
      <c r="B90" s="1"/>
      <c r="C90" s="1"/>
      <c r="D90" s="1"/>
      <c r="E90" s="1"/>
      <c r="F90" s="1"/>
      <c r="G90" s="1"/>
      <c r="H90" s="4"/>
    </row>
    <row r="91" spans="1:8" x14ac:dyDescent="0.5">
      <c r="A91" s="9"/>
      <c r="B91" s="1"/>
      <c r="C91" s="1"/>
      <c r="D91" s="1"/>
      <c r="E91" s="1"/>
      <c r="F91" s="1"/>
      <c r="G91" s="1"/>
      <c r="H91" s="4"/>
    </row>
    <row r="92" spans="1:8" x14ac:dyDescent="0.5">
      <c r="A92" s="9"/>
      <c r="B92" s="1"/>
      <c r="C92" s="1"/>
      <c r="D92" s="1"/>
      <c r="E92" s="1"/>
      <c r="F92" s="1"/>
      <c r="G92" s="1"/>
      <c r="H92" s="4"/>
    </row>
    <row r="93" spans="1:8" x14ac:dyDescent="0.5">
      <c r="A93" s="9"/>
      <c r="B93" s="1"/>
      <c r="C93" s="1"/>
      <c r="D93" s="1"/>
      <c r="E93" s="1"/>
      <c r="F93" s="1"/>
      <c r="G93" s="1"/>
      <c r="H93" s="4"/>
    </row>
    <row r="94" spans="1:8" x14ac:dyDescent="0.5">
      <c r="A94" s="9"/>
      <c r="B94" s="1"/>
      <c r="C94" s="1"/>
      <c r="D94" s="1"/>
      <c r="E94" s="1"/>
      <c r="F94" s="1"/>
      <c r="G94" s="1"/>
      <c r="H94" s="4"/>
    </row>
    <row r="95" spans="1:8" x14ac:dyDescent="0.5">
      <c r="A95" s="9"/>
      <c r="B95" s="1"/>
      <c r="C95" s="1"/>
      <c r="D95" s="1"/>
      <c r="E95" s="1"/>
      <c r="F95" s="1"/>
      <c r="G95" s="1"/>
      <c r="H95" s="4"/>
    </row>
    <row r="96" spans="1:8" x14ac:dyDescent="0.5">
      <c r="A96" s="9"/>
      <c r="B96" s="1"/>
      <c r="C96" s="1"/>
      <c r="D96" s="1"/>
      <c r="E96" s="1"/>
      <c r="F96" s="1"/>
      <c r="G96" s="1"/>
      <c r="H96" s="4"/>
    </row>
    <row r="97" spans="1:8" x14ac:dyDescent="0.5">
      <c r="A97" s="9"/>
      <c r="B97" s="1"/>
      <c r="C97" s="1"/>
      <c r="D97" s="1"/>
      <c r="E97" s="1"/>
      <c r="F97" s="1"/>
      <c r="G97" s="1"/>
      <c r="H97" s="4"/>
    </row>
    <row r="98" spans="1:8" x14ac:dyDescent="0.5">
      <c r="A98" s="9"/>
      <c r="B98" s="1"/>
      <c r="C98" s="1"/>
      <c r="D98" s="1"/>
      <c r="E98" s="1"/>
      <c r="F98" s="1"/>
      <c r="G98" s="1"/>
      <c r="H98" s="4"/>
    </row>
    <row r="99" spans="1:8" x14ac:dyDescent="0.5">
      <c r="A99" s="9"/>
      <c r="B99" s="1"/>
      <c r="C99" s="1"/>
      <c r="D99" s="1"/>
      <c r="E99" s="1"/>
      <c r="F99" s="1"/>
      <c r="G99" s="1"/>
      <c r="H99" s="4"/>
    </row>
    <row r="100" spans="1:8" x14ac:dyDescent="0.5">
      <c r="A100" s="9"/>
      <c r="B100" s="1"/>
      <c r="C100" s="1"/>
      <c r="D100" s="1"/>
      <c r="E100" s="1"/>
      <c r="F100" s="1"/>
      <c r="G100" s="1"/>
      <c r="H100" s="4"/>
    </row>
    <row r="101" spans="1:8" x14ac:dyDescent="0.5">
      <c r="A101" s="9"/>
      <c r="B101" s="1"/>
      <c r="C101" s="1"/>
      <c r="D101" s="1"/>
      <c r="E101" s="1"/>
      <c r="F101" s="1"/>
      <c r="G101" s="1"/>
      <c r="H101" s="4"/>
    </row>
    <row r="102" spans="1:8" x14ac:dyDescent="0.5">
      <c r="A102" s="9"/>
      <c r="B102" s="1"/>
      <c r="C102" s="1"/>
      <c r="D102" s="1"/>
      <c r="E102" s="1"/>
      <c r="F102" s="1"/>
      <c r="G102" s="1"/>
      <c r="H102" s="4"/>
    </row>
    <row r="103" spans="1:8" x14ac:dyDescent="0.5">
      <c r="A103" s="9"/>
      <c r="B103" s="1"/>
      <c r="C103" s="1"/>
      <c r="D103" s="1"/>
      <c r="E103" s="1"/>
      <c r="F103" s="1"/>
      <c r="G103" s="1"/>
      <c r="H103" s="4"/>
    </row>
    <row r="104" spans="1:8" x14ac:dyDescent="0.5">
      <c r="A104" s="9"/>
      <c r="B104" s="1"/>
      <c r="C104" s="1"/>
      <c r="D104" s="1"/>
      <c r="E104" s="1"/>
      <c r="F104" s="1"/>
      <c r="G104" s="1"/>
      <c r="H104" s="4"/>
    </row>
    <row r="105" spans="1:8" x14ac:dyDescent="0.5">
      <c r="A105" s="9"/>
      <c r="B105" s="1"/>
      <c r="C105" s="1"/>
      <c r="D105" s="1"/>
      <c r="E105" s="1"/>
      <c r="F105" s="1"/>
      <c r="G105" s="1"/>
      <c r="H105" s="4"/>
    </row>
    <row r="106" spans="1:8" x14ac:dyDescent="0.5">
      <c r="A106" s="9"/>
      <c r="B106" s="1"/>
      <c r="C106" s="1"/>
      <c r="D106" s="1"/>
      <c r="E106" s="1"/>
      <c r="F106" s="1"/>
      <c r="G106" s="1"/>
      <c r="H106" s="4"/>
    </row>
    <row r="107" spans="1:8" x14ac:dyDescent="0.5">
      <c r="A107" s="9"/>
      <c r="B107" s="1"/>
      <c r="C107" s="1"/>
      <c r="D107" s="1"/>
      <c r="E107" s="1"/>
      <c r="F107" s="1"/>
      <c r="G107" s="1"/>
      <c r="H107" s="4"/>
    </row>
    <row r="108" spans="1:8" x14ac:dyDescent="0.5">
      <c r="A108" s="9"/>
      <c r="B108" s="1"/>
      <c r="C108" s="1"/>
      <c r="D108" s="1"/>
      <c r="E108" s="1"/>
      <c r="F108" s="1"/>
      <c r="G108" s="1"/>
      <c r="H108" s="4"/>
    </row>
    <row r="109" spans="1:8" x14ac:dyDescent="0.5">
      <c r="A109" s="9"/>
      <c r="B109" s="1"/>
      <c r="C109" s="1"/>
      <c r="D109" s="1"/>
      <c r="E109" s="1"/>
      <c r="F109" s="1"/>
      <c r="G109" s="1"/>
      <c r="H109" s="4"/>
    </row>
    <row r="110" spans="1:8" x14ac:dyDescent="0.5">
      <c r="A110" s="9"/>
      <c r="B110" s="1"/>
      <c r="C110" s="1"/>
      <c r="D110" s="1"/>
      <c r="E110" s="1"/>
      <c r="F110" s="1"/>
      <c r="G110" s="1"/>
      <c r="H110" s="4"/>
    </row>
    <row r="111" spans="1:8" x14ac:dyDescent="0.5">
      <c r="A111" s="9"/>
      <c r="B111" s="1"/>
      <c r="C111" s="1"/>
      <c r="D111" s="1"/>
      <c r="E111" s="1"/>
      <c r="F111" s="1"/>
      <c r="G111" s="1"/>
      <c r="H111" s="4"/>
    </row>
    <row r="112" spans="1:8" x14ac:dyDescent="0.5">
      <c r="A112" s="9"/>
      <c r="B112" s="1"/>
      <c r="C112" s="1"/>
      <c r="D112" s="1"/>
      <c r="E112" s="1"/>
      <c r="F112" s="1"/>
      <c r="G112" s="1"/>
      <c r="H112" s="4"/>
    </row>
    <row r="113" spans="1:8" x14ac:dyDescent="0.5">
      <c r="A113" s="9"/>
      <c r="B113" s="1"/>
      <c r="C113" s="1"/>
      <c r="D113" s="1"/>
      <c r="E113" s="1"/>
      <c r="F113" s="1"/>
      <c r="G113" s="1"/>
      <c r="H113" s="4"/>
    </row>
    <row r="114" spans="1:8" x14ac:dyDescent="0.5">
      <c r="A114" s="9"/>
      <c r="B114" s="1"/>
      <c r="C114" s="1"/>
      <c r="D114" s="1"/>
      <c r="E114" s="1"/>
      <c r="F114" s="1"/>
      <c r="G114" s="1"/>
      <c r="H114" s="4"/>
    </row>
    <row r="115" spans="1:8" x14ac:dyDescent="0.5">
      <c r="A115" s="9"/>
      <c r="B115" s="1"/>
      <c r="C115" s="1"/>
      <c r="D115" s="1"/>
      <c r="E115" s="1"/>
      <c r="F115" s="1"/>
      <c r="G115" s="1"/>
      <c r="H115" s="4"/>
    </row>
    <row r="116" spans="1:8" x14ac:dyDescent="0.5">
      <c r="A116" s="9"/>
      <c r="B116" s="1"/>
      <c r="C116" s="1"/>
      <c r="D116" s="1"/>
      <c r="E116" s="1"/>
      <c r="F116" s="1"/>
      <c r="G116" s="1"/>
      <c r="H116" s="4"/>
    </row>
    <row r="117" spans="1:8" x14ac:dyDescent="0.5">
      <c r="A117" s="9"/>
      <c r="B117" s="1"/>
      <c r="C117" s="1"/>
      <c r="D117" s="1"/>
      <c r="E117" s="1"/>
      <c r="F117" s="1"/>
      <c r="G117" s="1"/>
      <c r="H117" s="4"/>
    </row>
    <row r="118" spans="1:8" x14ac:dyDescent="0.5">
      <c r="A118" s="9"/>
      <c r="B118" s="1"/>
      <c r="C118" s="1"/>
      <c r="D118" s="1"/>
      <c r="E118" s="1"/>
      <c r="F118" s="1"/>
      <c r="G118" s="1"/>
      <c r="H118" s="4"/>
    </row>
    <row r="119" spans="1:8" x14ac:dyDescent="0.5">
      <c r="A119" s="9"/>
      <c r="B119" s="1"/>
      <c r="C119" s="1"/>
      <c r="D119" s="1"/>
      <c r="E119" s="1"/>
      <c r="F119" s="1"/>
      <c r="G119" s="1"/>
      <c r="H119" s="4"/>
    </row>
    <row r="120" spans="1:8" x14ac:dyDescent="0.5">
      <c r="A120" s="9"/>
      <c r="B120" s="1"/>
      <c r="C120" s="1"/>
      <c r="D120" s="1"/>
      <c r="E120" s="1"/>
      <c r="F120" s="1"/>
      <c r="G120" s="1"/>
      <c r="H120" s="4"/>
    </row>
    <row r="121" spans="1:8" ht="18.3" thickBot="1" x14ac:dyDescent="0.55000000000000004">
      <c r="A121" s="10"/>
      <c r="B121" s="7"/>
      <c r="C121" s="7"/>
      <c r="D121" s="7"/>
      <c r="E121" s="7"/>
      <c r="F121" s="7"/>
      <c r="G121" s="7"/>
      <c r="H121" s="8"/>
    </row>
  </sheetData>
  <mergeCells count="22">
    <mergeCell ref="M17:N17"/>
    <mergeCell ref="J2:L2"/>
    <mergeCell ref="J6:N6"/>
    <mergeCell ref="M8:N8"/>
    <mergeCell ref="M9:N9"/>
    <mergeCell ref="M10:N10"/>
    <mergeCell ref="M11:N11"/>
    <mergeCell ref="M12:N12"/>
    <mergeCell ref="M13:N13"/>
    <mergeCell ref="M14:N14"/>
    <mergeCell ref="M15:N15"/>
    <mergeCell ref="M16:N16"/>
    <mergeCell ref="M25:N25"/>
    <mergeCell ref="M26:N26"/>
    <mergeCell ref="M27:N27"/>
    <mergeCell ref="J29:L29"/>
    <mergeCell ref="M18:N18"/>
    <mergeCell ref="M19:N19"/>
    <mergeCell ref="J21:N21"/>
    <mergeCell ref="M22:N22"/>
    <mergeCell ref="M23:N23"/>
    <mergeCell ref="M24:N24"/>
  </mergeCells>
  <phoneticPr fontId="1"/>
  <dataValidations count="3">
    <dataValidation type="list" allowBlank="1" showInputMessage="1" showErrorMessage="1" sqref="F2:F121" xr:uid="{11F600AB-247C-4D47-A09B-8C638FB967EE}">
      <formula1>$J$23:$J$27</formula1>
    </dataValidation>
    <dataValidation type="list" allowBlank="1" showInputMessage="1" showErrorMessage="1" sqref="H2:H121" xr:uid="{16713CB6-4FDA-4D14-A781-CE698631D9C2}">
      <formula1>$J$31:$J$35</formula1>
    </dataValidation>
    <dataValidation type="list" allowBlank="1" showInputMessage="1" showErrorMessage="1" sqref="E2:E121" xr:uid="{8D296292-D744-4AC3-9B7A-20E9DED5DDF6}">
      <formula1>$P$7:$P$9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仕様書</vt:lpstr>
      <vt:lpstr>ALL</vt:lpstr>
      <vt:lpstr>原本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kmr02</dc:creator>
  <cp:lastModifiedBy>User</cp:lastModifiedBy>
  <cp:lastPrinted>2025-01-09T02:21:53Z</cp:lastPrinted>
  <dcterms:created xsi:type="dcterms:W3CDTF">2024-01-30T03:44:52Z</dcterms:created>
  <dcterms:modified xsi:type="dcterms:W3CDTF">2025-11-20T01:59:58Z</dcterms:modified>
</cp:coreProperties>
</file>