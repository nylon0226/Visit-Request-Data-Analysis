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6EC6AF76-618E-43E0-B3BD-80BAF7D7292A}" xr6:coauthVersionLast="47" xr6:coauthVersionMax="47" xr10:uidLastSave="{00000000-0000-0000-0000-000000000000}"/>
  <bookViews>
    <workbookView xWindow="-107" yWindow="-107" windowWidth="20847" windowHeight="12401" firstSheet="1" activeTab="1" xr2:uid="{05F7F536-25D1-477E-9095-CE374426866E}"/>
  </bookViews>
  <sheets>
    <sheet name="仕様書" sheetId="123" r:id="rId1"/>
    <sheet name="ALL" sheetId="13" r:id="rId2"/>
    <sheet name="原本" sheetId="124" r:id="rId3"/>
    <sheet name="かげのは在宅ケアセンター" sheetId="125" r:id="rId4"/>
    <sheet name="白峰ヶ丘ケアプラン" sheetId="126" r:id="rId5"/>
    <sheet name="いしかげ訪問サポート" sheetId="127" r:id="rId6"/>
    <sheet name="南条市総合ヘルス医療センター" sheetId="128" r:id="rId7"/>
    <sheet name="森ノ根ホームケア" sheetId="129" r:id="rId8"/>
    <sheet name="霞野の里ケアサービス" sheetId="130" r:id="rId9"/>
    <sheet name="居宅サポート わかな" sheetId="131" r:id="rId10"/>
    <sheet name="天ヶ杜在宅ケアステーション" sheetId="132" r:id="rId11"/>
    <sheet name="桜苑みづき" sheetId="133" r:id="rId12"/>
    <sheet name="菜野かほり" sheetId="134" r:id="rId13"/>
    <sheet name="ハーモニアやさと" sheetId="135" r:id="rId14"/>
    <sheet name="総合メンタルケアセンター ひなぎ" sheetId="136" r:id="rId15"/>
    <sheet name="羽根町くらし包括支援センター" sheetId="137" r:id="rId16"/>
    <sheet name="イトウファーマリンク" sheetId="138" r:id="rId17"/>
    <sheet name="市立南条中央病院" sheetId="139" r:id="rId18"/>
    <sheet name="桜英みずき苑" sheetId="140" r:id="rId19"/>
    <sheet name="フォーエバーライフケア" sheetId="141" r:id="rId20"/>
    <sheet name="シグナス訪問ケア" sheetId="142" r:id="rId21"/>
    <sheet name="桑名市総合ヘルス医療センター" sheetId="143" r:id="rId22"/>
    <sheet name="北ウェルフェアセンター" sheetId="144" r:id="rId23"/>
    <sheet name="ブルーミングケア" sheetId="145" r:id="rId24"/>
    <sheet name="ととクリニック" sheetId="146" r:id="rId25"/>
    <sheet name="菰野セイント十字ケア" sheetId="147" r:id="rId26"/>
    <sheet name="ヴィラ四条南" sheetId="148" r:id="rId27"/>
    <sheet name="居宅ケア スウィート" sheetId="149" r:id="rId28"/>
    <sheet name="しらゆりケアリンク" sheetId="150" r:id="rId29"/>
    <sheet name="たけのねケアプラン" sheetId="151" r:id="rId30"/>
    <sheet name="ご利用者ご家族支援窓口" sheetId="152" r:id="rId31"/>
    <sheet name="諧朋苑ケアサポート" sheetId="153" r:id="rId32"/>
    <sheet name="なでしこの家ケアステーション" sheetId="154" r:id="rId3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5" i="154" l="1"/>
  <c r="K34" i="154"/>
  <c r="K33" i="154"/>
  <c r="K32" i="154"/>
  <c r="K31" i="154"/>
  <c r="L27" i="154"/>
  <c r="L26" i="154"/>
  <c r="L25" i="154"/>
  <c r="L24" i="154"/>
  <c r="L23" i="154"/>
  <c r="L19" i="154"/>
  <c r="M19" i="154" s="1"/>
  <c r="K19" i="154"/>
  <c r="L18" i="154"/>
  <c r="M18" i="154" s="1"/>
  <c r="K18" i="154"/>
  <c r="L17" i="154"/>
  <c r="K17" i="154"/>
  <c r="L16" i="154"/>
  <c r="K16" i="154"/>
  <c r="L15" i="154"/>
  <c r="M15" i="154" s="1"/>
  <c r="K15" i="154"/>
  <c r="L14" i="154"/>
  <c r="M14" i="154" s="1"/>
  <c r="K14" i="154"/>
  <c r="L13" i="154"/>
  <c r="M13" i="154" s="1"/>
  <c r="K13" i="154"/>
  <c r="L12" i="154"/>
  <c r="M12" i="154" s="1"/>
  <c r="K12" i="154"/>
  <c r="L11" i="154"/>
  <c r="K11" i="154"/>
  <c r="L10" i="154"/>
  <c r="K10" i="154"/>
  <c r="M10" i="154" s="1"/>
  <c r="L9" i="154"/>
  <c r="M9" i="154" s="1"/>
  <c r="K9" i="154"/>
  <c r="L8" i="154"/>
  <c r="M8" i="154" s="1"/>
  <c r="K8" i="154"/>
  <c r="K4" i="154"/>
  <c r="J4" i="154"/>
  <c r="K35" i="153"/>
  <c r="K34" i="153"/>
  <c r="K33" i="153"/>
  <c r="K32" i="153"/>
  <c r="K31" i="153"/>
  <c r="L27" i="153"/>
  <c r="L26" i="153"/>
  <c r="L25" i="153"/>
  <c r="L24" i="153"/>
  <c r="L23" i="153"/>
  <c r="M23" i="153" s="1"/>
  <c r="L19" i="153"/>
  <c r="M19" i="153" s="1"/>
  <c r="K19" i="153"/>
  <c r="L18" i="153"/>
  <c r="K18" i="153"/>
  <c r="L17" i="153"/>
  <c r="M17" i="153" s="1"/>
  <c r="K17" i="153"/>
  <c r="L16" i="153"/>
  <c r="M16" i="153" s="1"/>
  <c r="K16" i="153"/>
  <c r="L15" i="153"/>
  <c r="M15" i="153" s="1"/>
  <c r="K15" i="153"/>
  <c r="L14" i="153"/>
  <c r="M14" i="153" s="1"/>
  <c r="K14" i="153"/>
  <c r="L13" i="153"/>
  <c r="K13" i="153"/>
  <c r="L12" i="153"/>
  <c r="K12" i="153"/>
  <c r="L11" i="153"/>
  <c r="M11" i="153" s="1"/>
  <c r="K11" i="153"/>
  <c r="L10" i="153"/>
  <c r="K10" i="153"/>
  <c r="L9" i="153"/>
  <c r="K9" i="153"/>
  <c r="L8" i="153"/>
  <c r="K8" i="153"/>
  <c r="L4" i="153"/>
  <c r="K4" i="153"/>
  <c r="J4" i="153"/>
  <c r="K35" i="152"/>
  <c r="K34" i="152"/>
  <c r="K33" i="152"/>
  <c r="K32" i="152"/>
  <c r="L32" i="152" s="1"/>
  <c r="K31" i="152"/>
  <c r="L27" i="152"/>
  <c r="L26" i="152"/>
  <c r="L25" i="152"/>
  <c r="L24" i="152"/>
  <c r="L23" i="152"/>
  <c r="L19" i="152"/>
  <c r="M19" i="152" s="1"/>
  <c r="K19" i="152"/>
  <c r="L18" i="152"/>
  <c r="K18" i="152"/>
  <c r="M18" i="152" s="1"/>
  <c r="L17" i="152"/>
  <c r="M17" i="152" s="1"/>
  <c r="K17" i="152"/>
  <c r="L16" i="152"/>
  <c r="M16" i="152" s="1"/>
  <c r="K16" i="152"/>
  <c r="L15" i="152"/>
  <c r="M15" i="152" s="1"/>
  <c r="K15" i="152"/>
  <c r="L14" i="152"/>
  <c r="K14" i="152"/>
  <c r="M14" i="152" s="1"/>
  <c r="L13" i="152"/>
  <c r="M13" i="152" s="1"/>
  <c r="K13" i="152"/>
  <c r="L12" i="152"/>
  <c r="K12" i="152"/>
  <c r="M12" i="152" s="1"/>
  <c r="L11" i="152"/>
  <c r="M11" i="152" s="1"/>
  <c r="K11" i="152"/>
  <c r="L10" i="152"/>
  <c r="K10" i="152"/>
  <c r="L9" i="152"/>
  <c r="K9" i="152"/>
  <c r="L8" i="152"/>
  <c r="K8" i="152"/>
  <c r="L4" i="152"/>
  <c r="K4" i="152"/>
  <c r="M25" i="152" s="1"/>
  <c r="J4" i="152"/>
  <c r="K35" i="151"/>
  <c r="K34" i="151"/>
  <c r="K33" i="151"/>
  <c r="K32" i="151"/>
  <c r="L32" i="151" s="1"/>
  <c r="K31" i="151"/>
  <c r="L27" i="151"/>
  <c r="L26" i="151"/>
  <c r="L25" i="151"/>
  <c r="L24" i="151"/>
  <c r="L23" i="151"/>
  <c r="L19" i="151"/>
  <c r="K19" i="151"/>
  <c r="L18" i="151"/>
  <c r="K18" i="151"/>
  <c r="L17" i="151"/>
  <c r="M17" i="151" s="1"/>
  <c r="K17" i="151"/>
  <c r="L16" i="151"/>
  <c r="K16" i="151"/>
  <c r="L15" i="151"/>
  <c r="M15" i="151" s="1"/>
  <c r="K15" i="151"/>
  <c r="L14" i="151"/>
  <c r="K14" i="151"/>
  <c r="L13" i="151"/>
  <c r="M13" i="151" s="1"/>
  <c r="K13" i="151"/>
  <c r="L12" i="151"/>
  <c r="K12" i="151"/>
  <c r="L11" i="151"/>
  <c r="K11" i="151"/>
  <c r="L10" i="151"/>
  <c r="K10" i="151"/>
  <c r="M10" i="151" s="1"/>
  <c r="L9" i="151"/>
  <c r="M9" i="151" s="1"/>
  <c r="K9" i="151"/>
  <c r="L8" i="151"/>
  <c r="M8" i="151" s="1"/>
  <c r="K8" i="151"/>
  <c r="K4" i="151"/>
  <c r="M25" i="151" s="1"/>
  <c r="J4" i="151"/>
  <c r="K35" i="150"/>
  <c r="K34" i="150"/>
  <c r="K33" i="150"/>
  <c r="K32" i="150"/>
  <c r="L32" i="150" s="1"/>
  <c r="K31" i="150"/>
  <c r="L27" i="150"/>
  <c r="L26" i="150"/>
  <c r="L25" i="150"/>
  <c r="L24" i="150"/>
  <c r="L23" i="150"/>
  <c r="L19" i="150"/>
  <c r="K19" i="150"/>
  <c r="L18" i="150"/>
  <c r="K18" i="150"/>
  <c r="L17" i="150"/>
  <c r="K17" i="150"/>
  <c r="L16" i="150"/>
  <c r="M16" i="150" s="1"/>
  <c r="K16" i="150"/>
  <c r="L15" i="150"/>
  <c r="K15" i="150"/>
  <c r="L14" i="150"/>
  <c r="M14" i="150" s="1"/>
  <c r="K14" i="150"/>
  <c r="L13" i="150"/>
  <c r="M13" i="150" s="1"/>
  <c r="K13" i="150"/>
  <c r="L12" i="150"/>
  <c r="K12" i="150"/>
  <c r="L11" i="150"/>
  <c r="K11" i="150"/>
  <c r="L10" i="150"/>
  <c r="K10" i="150"/>
  <c r="M10" i="150" s="1"/>
  <c r="L9" i="150"/>
  <c r="M9" i="150" s="1"/>
  <c r="K9" i="150"/>
  <c r="L8" i="150"/>
  <c r="M8" i="150" s="1"/>
  <c r="K8" i="150"/>
  <c r="K4" i="150"/>
  <c r="M25" i="150" s="1"/>
  <c r="J4" i="150"/>
  <c r="K35" i="149"/>
  <c r="K34" i="149"/>
  <c r="K33" i="149"/>
  <c r="K32" i="149"/>
  <c r="L32" i="149" s="1"/>
  <c r="K31" i="149"/>
  <c r="L27" i="149"/>
  <c r="L26" i="149"/>
  <c r="L25" i="149"/>
  <c r="L24" i="149"/>
  <c r="L23" i="149"/>
  <c r="L19" i="149"/>
  <c r="K19" i="149"/>
  <c r="L18" i="149"/>
  <c r="K18" i="149"/>
  <c r="L17" i="149"/>
  <c r="K17" i="149"/>
  <c r="L16" i="149"/>
  <c r="M16" i="149" s="1"/>
  <c r="K16" i="149"/>
  <c r="L15" i="149"/>
  <c r="K15" i="149"/>
  <c r="L14" i="149"/>
  <c r="K14" i="149"/>
  <c r="L13" i="149"/>
  <c r="M13" i="149" s="1"/>
  <c r="K13" i="149"/>
  <c r="L12" i="149"/>
  <c r="K12" i="149"/>
  <c r="M12" i="149" s="1"/>
  <c r="L11" i="149"/>
  <c r="M11" i="149" s="1"/>
  <c r="K11" i="149"/>
  <c r="L10" i="149"/>
  <c r="K10" i="149"/>
  <c r="L9" i="149"/>
  <c r="K9" i="149"/>
  <c r="L8" i="149"/>
  <c r="K8" i="149"/>
  <c r="L4" i="149"/>
  <c r="K4" i="149"/>
  <c r="M25" i="149" s="1"/>
  <c r="J4" i="149"/>
  <c r="K35" i="148"/>
  <c r="K34" i="148"/>
  <c r="K33" i="148"/>
  <c r="K32" i="148"/>
  <c r="K31" i="148"/>
  <c r="L27" i="148"/>
  <c r="L26" i="148"/>
  <c r="L25" i="148"/>
  <c r="L24" i="148"/>
  <c r="L23" i="148"/>
  <c r="L19" i="148"/>
  <c r="K19" i="148"/>
  <c r="L18" i="148"/>
  <c r="K18" i="148"/>
  <c r="L17" i="148"/>
  <c r="K17" i="148"/>
  <c r="L16" i="148"/>
  <c r="K16" i="148"/>
  <c r="L15" i="148"/>
  <c r="K15" i="148"/>
  <c r="L14" i="148"/>
  <c r="K14" i="148"/>
  <c r="L13" i="148"/>
  <c r="M13" i="148" s="1"/>
  <c r="K13" i="148"/>
  <c r="L12" i="148"/>
  <c r="K12" i="148"/>
  <c r="L11" i="148"/>
  <c r="M11" i="148" s="1"/>
  <c r="K11" i="148"/>
  <c r="L10" i="148"/>
  <c r="K10" i="148"/>
  <c r="L9" i="148"/>
  <c r="M9" i="148" s="1"/>
  <c r="K9" i="148"/>
  <c r="L8" i="148"/>
  <c r="K8" i="148"/>
  <c r="K4" i="148"/>
  <c r="L4" i="148" s="1"/>
  <c r="J4" i="148"/>
  <c r="K35" i="147"/>
  <c r="K34" i="147"/>
  <c r="K33" i="147"/>
  <c r="K32" i="147"/>
  <c r="K31" i="147"/>
  <c r="L27" i="147"/>
  <c r="L26" i="147"/>
  <c r="L25" i="147"/>
  <c r="L24" i="147"/>
  <c r="L23" i="147"/>
  <c r="L19" i="147"/>
  <c r="K19" i="147"/>
  <c r="L18" i="147"/>
  <c r="K18" i="147"/>
  <c r="L17" i="147"/>
  <c r="K17" i="147"/>
  <c r="L16" i="147"/>
  <c r="M16" i="147" s="1"/>
  <c r="K16" i="147"/>
  <c r="L15" i="147"/>
  <c r="K15" i="147"/>
  <c r="L14" i="147"/>
  <c r="K14" i="147"/>
  <c r="L13" i="147"/>
  <c r="M13" i="147" s="1"/>
  <c r="K13" i="147"/>
  <c r="L12" i="147"/>
  <c r="K12" i="147"/>
  <c r="L11" i="147"/>
  <c r="K11" i="147"/>
  <c r="L10" i="147"/>
  <c r="K10" i="147"/>
  <c r="L9" i="147"/>
  <c r="M9" i="147" s="1"/>
  <c r="K9" i="147"/>
  <c r="L8" i="147"/>
  <c r="K8" i="147"/>
  <c r="K4" i="147"/>
  <c r="L4" i="147" s="1"/>
  <c r="J4" i="147"/>
  <c r="K35" i="146"/>
  <c r="K34" i="146"/>
  <c r="K33" i="146"/>
  <c r="K32" i="146"/>
  <c r="L32" i="146" s="1"/>
  <c r="K31" i="146"/>
  <c r="L27" i="146"/>
  <c r="L26" i="146"/>
  <c r="L25" i="146"/>
  <c r="M25" i="146" s="1"/>
  <c r="L24" i="146"/>
  <c r="L23" i="146"/>
  <c r="L19" i="146"/>
  <c r="M19" i="146" s="1"/>
  <c r="K19" i="146"/>
  <c r="L18" i="146"/>
  <c r="K18" i="146"/>
  <c r="L17" i="146"/>
  <c r="K17" i="146"/>
  <c r="L16" i="146"/>
  <c r="M16" i="146" s="1"/>
  <c r="K16" i="146"/>
  <c r="L15" i="146"/>
  <c r="M15" i="146" s="1"/>
  <c r="K15" i="146"/>
  <c r="L14" i="146"/>
  <c r="K14" i="146"/>
  <c r="L13" i="146"/>
  <c r="M13" i="146" s="1"/>
  <c r="K13" i="146"/>
  <c r="L12" i="146"/>
  <c r="K12" i="146"/>
  <c r="M12" i="146" s="1"/>
  <c r="L11" i="146"/>
  <c r="K11" i="146"/>
  <c r="L10" i="146"/>
  <c r="K10" i="146"/>
  <c r="L9" i="146"/>
  <c r="M9" i="146" s="1"/>
  <c r="K9" i="146"/>
  <c r="L8" i="146"/>
  <c r="K8" i="146"/>
  <c r="K4" i="146"/>
  <c r="J4" i="146"/>
  <c r="L4" i="146" s="1"/>
  <c r="K35" i="145"/>
  <c r="K34" i="145"/>
  <c r="K33" i="145"/>
  <c r="K32" i="145"/>
  <c r="L32" i="145" s="1"/>
  <c r="K31" i="145"/>
  <c r="L27" i="145"/>
  <c r="L26" i="145"/>
  <c r="L25" i="145"/>
  <c r="M25" i="145" s="1"/>
  <c r="L24" i="145"/>
  <c r="L23" i="145"/>
  <c r="L19" i="145"/>
  <c r="M19" i="145" s="1"/>
  <c r="K19" i="145"/>
  <c r="L18" i="145"/>
  <c r="K18" i="145"/>
  <c r="L17" i="145"/>
  <c r="K17" i="145"/>
  <c r="L16" i="145"/>
  <c r="M16" i="145" s="1"/>
  <c r="K16" i="145"/>
  <c r="L15" i="145"/>
  <c r="M15" i="145" s="1"/>
  <c r="K15" i="145"/>
  <c r="L14" i="145"/>
  <c r="K14" i="145"/>
  <c r="L13" i="145"/>
  <c r="M13" i="145" s="1"/>
  <c r="K13" i="145"/>
  <c r="L12" i="145"/>
  <c r="K12" i="145"/>
  <c r="M12" i="145" s="1"/>
  <c r="L11" i="145"/>
  <c r="K11" i="145"/>
  <c r="L10" i="145"/>
  <c r="K10" i="145"/>
  <c r="L9" i="145"/>
  <c r="M9" i="145" s="1"/>
  <c r="K9" i="145"/>
  <c r="L8" i="145"/>
  <c r="K8" i="145"/>
  <c r="K4" i="145"/>
  <c r="L4" i="145" s="1"/>
  <c r="J4" i="145"/>
  <c r="K35" i="144"/>
  <c r="K34" i="144"/>
  <c r="K33" i="144"/>
  <c r="K32" i="144"/>
  <c r="K31" i="144"/>
  <c r="L27" i="144"/>
  <c r="L26" i="144"/>
  <c r="L25" i="144"/>
  <c r="L24" i="144"/>
  <c r="L23" i="144"/>
  <c r="L19" i="144"/>
  <c r="M19" i="144" s="1"/>
  <c r="K19" i="144"/>
  <c r="L18" i="144"/>
  <c r="K18" i="144"/>
  <c r="L17" i="144"/>
  <c r="M17" i="144" s="1"/>
  <c r="K17" i="144"/>
  <c r="L16" i="144"/>
  <c r="K16" i="144"/>
  <c r="L15" i="144"/>
  <c r="M15" i="144" s="1"/>
  <c r="K15" i="144"/>
  <c r="L14" i="144"/>
  <c r="K14" i="144"/>
  <c r="L13" i="144"/>
  <c r="M13" i="144" s="1"/>
  <c r="K13" i="144"/>
  <c r="L12" i="144"/>
  <c r="K12" i="144"/>
  <c r="L11" i="144"/>
  <c r="M11" i="144" s="1"/>
  <c r="K11" i="144"/>
  <c r="L10" i="144"/>
  <c r="K10" i="144"/>
  <c r="L9" i="144"/>
  <c r="M9" i="144" s="1"/>
  <c r="K9" i="144"/>
  <c r="L8" i="144"/>
  <c r="K8" i="144"/>
  <c r="K4" i="144"/>
  <c r="J4" i="144"/>
  <c r="K35" i="143"/>
  <c r="K34" i="143"/>
  <c r="K33" i="143"/>
  <c r="K32" i="143"/>
  <c r="L32" i="143" s="1"/>
  <c r="K31" i="143"/>
  <c r="L27" i="143"/>
  <c r="L26" i="143"/>
  <c r="L25" i="143"/>
  <c r="L24" i="143"/>
  <c r="L23" i="143"/>
  <c r="L19" i="143"/>
  <c r="K19" i="143"/>
  <c r="L18" i="143"/>
  <c r="K18" i="143"/>
  <c r="L17" i="143"/>
  <c r="M17" i="143" s="1"/>
  <c r="K17" i="143"/>
  <c r="L16" i="143"/>
  <c r="M16" i="143" s="1"/>
  <c r="K16" i="143"/>
  <c r="L15" i="143"/>
  <c r="M15" i="143" s="1"/>
  <c r="K15" i="143"/>
  <c r="L14" i="143"/>
  <c r="K14" i="143"/>
  <c r="L13" i="143"/>
  <c r="M13" i="143" s="1"/>
  <c r="K13" i="143"/>
  <c r="L12" i="143"/>
  <c r="K12" i="143"/>
  <c r="L11" i="143"/>
  <c r="M11" i="143" s="1"/>
  <c r="K11" i="143"/>
  <c r="L10" i="143"/>
  <c r="K10" i="143"/>
  <c r="L9" i="143"/>
  <c r="M9" i="143" s="1"/>
  <c r="K9" i="143"/>
  <c r="L8" i="143"/>
  <c r="K8" i="143"/>
  <c r="L4" i="143"/>
  <c r="K4" i="143"/>
  <c r="J4" i="143"/>
  <c r="K35" i="142"/>
  <c r="K34" i="142"/>
  <c r="K33" i="142"/>
  <c r="K32" i="142"/>
  <c r="K31" i="142"/>
  <c r="L27" i="142"/>
  <c r="L26" i="142"/>
  <c r="L25" i="142"/>
  <c r="L24" i="142"/>
  <c r="L23" i="142"/>
  <c r="L19" i="142"/>
  <c r="M19" i="142" s="1"/>
  <c r="K19" i="142"/>
  <c r="L18" i="142"/>
  <c r="K18" i="142"/>
  <c r="L17" i="142"/>
  <c r="K17" i="142"/>
  <c r="L16" i="142"/>
  <c r="M16" i="142" s="1"/>
  <c r="K16" i="142"/>
  <c r="L15" i="142"/>
  <c r="M15" i="142" s="1"/>
  <c r="K15" i="142"/>
  <c r="L14" i="142"/>
  <c r="K14" i="142"/>
  <c r="L13" i="142"/>
  <c r="M13" i="142" s="1"/>
  <c r="K13" i="142"/>
  <c r="L12" i="142"/>
  <c r="K12" i="142"/>
  <c r="L11" i="142"/>
  <c r="K11" i="142"/>
  <c r="L10" i="142"/>
  <c r="K10" i="142"/>
  <c r="L9" i="142"/>
  <c r="M9" i="142" s="1"/>
  <c r="K9" i="142"/>
  <c r="L8" i="142"/>
  <c r="K8" i="142"/>
  <c r="K4" i="142"/>
  <c r="J4" i="142"/>
  <c r="K35" i="141"/>
  <c r="K34" i="141"/>
  <c r="K33" i="141"/>
  <c r="K32" i="141"/>
  <c r="L32" i="141" s="1"/>
  <c r="K31" i="141"/>
  <c r="L27" i="141"/>
  <c r="L26" i="141"/>
  <c r="L25" i="141"/>
  <c r="L24" i="141"/>
  <c r="L23" i="141"/>
  <c r="L19" i="141"/>
  <c r="K19" i="141"/>
  <c r="L18" i="141"/>
  <c r="K18" i="141"/>
  <c r="L17" i="141"/>
  <c r="K17" i="141"/>
  <c r="L16" i="141"/>
  <c r="M16" i="141" s="1"/>
  <c r="K16" i="141"/>
  <c r="L15" i="141"/>
  <c r="K15" i="141"/>
  <c r="L14" i="141"/>
  <c r="K14" i="141"/>
  <c r="L13" i="141"/>
  <c r="M13" i="141" s="1"/>
  <c r="K13" i="141"/>
  <c r="L12" i="141"/>
  <c r="K12" i="141"/>
  <c r="L11" i="141"/>
  <c r="K11" i="141"/>
  <c r="L10" i="141"/>
  <c r="K10" i="141"/>
  <c r="L9" i="141"/>
  <c r="M9" i="141" s="1"/>
  <c r="K9" i="141"/>
  <c r="L8" i="141"/>
  <c r="M8" i="141" s="1"/>
  <c r="K8" i="141"/>
  <c r="K4" i="141"/>
  <c r="M25" i="141" s="1"/>
  <c r="J4" i="141"/>
  <c r="K35" i="140"/>
  <c r="K34" i="140"/>
  <c r="K33" i="140"/>
  <c r="K32" i="140"/>
  <c r="L32" i="140" s="1"/>
  <c r="K31" i="140"/>
  <c r="L27" i="140"/>
  <c r="L26" i="140"/>
  <c r="L25" i="140"/>
  <c r="L24" i="140"/>
  <c r="L23" i="140"/>
  <c r="L19" i="140"/>
  <c r="K19" i="140"/>
  <c r="L18" i="140"/>
  <c r="K18" i="140"/>
  <c r="L17" i="140"/>
  <c r="K17" i="140"/>
  <c r="L16" i="140"/>
  <c r="M16" i="140" s="1"/>
  <c r="K16" i="140"/>
  <c r="L15" i="140"/>
  <c r="M15" i="140" s="1"/>
  <c r="K15" i="140"/>
  <c r="L14" i="140"/>
  <c r="K14" i="140"/>
  <c r="L13" i="140"/>
  <c r="M13" i="140" s="1"/>
  <c r="K13" i="140"/>
  <c r="L12" i="140"/>
  <c r="K12" i="140"/>
  <c r="L11" i="140"/>
  <c r="K11" i="140"/>
  <c r="L10" i="140"/>
  <c r="K10" i="140"/>
  <c r="L9" i="140"/>
  <c r="M9" i="140" s="1"/>
  <c r="K9" i="140"/>
  <c r="L8" i="140"/>
  <c r="M8" i="140" s="1"/>
  <c r="K8" i="140"/>
  <c r="K4" i="140"/>
  <c r="M25" i="140" s="1"/>
  <c r="J4" i="140"/>
  <c r="L4" i="140" s="1"/>
  <c r="K35" i="139"/>
  <c r="K34" i="139"/>
  <c r="K33" i="139"/>
  <c r="K32" i="139"/>
  <c r="K31" i="139"/>
  <c r="L27" i="139"/>
  <c r="L26" i="139"/>
  <c r="L25" i="139"/>
  <c r="L24" i="139"/>
  <c r="L23" i="139"/>
  <c r="L19" i="139"/>
  <c r="M19" i="139" s="1"/>
  <c r="K19" i="139"/>
  <c r="L18" i="139"/>
  <c r="K18" i="139"/>
  <c r="L17" i="139"/>
  <c r="K17" i="139"/>
  <c r="L16" i="139"/>
  <c r="K16" i="139"/>
  <c r="L15" i="139"/>
  <c r="M15" i="139" s="1"/>
  <c r="K15" i="139"/>
  <c r="L14" i="139"/>
  <c r="K14" i="139"/>
  <c r="L13" i="139"/>
  <c r="K13" i="139"/>
  <c r="L12" i="139"/>
  <c r="K12" i="139"/>
  <c r="L11" i="139"/>
  <c r="M11" i="139" s="1"/>
  <c r="K11" i="139"/>
  <c r="L10" i="139"/>
  <c r="K10" i="139"/>
  <c r="L9" i="139"/>
  <c r="K9" i="139"/>
  <c r="L8" i="139"/>
  <c r="K8" i="139"/>
  <c r="K4" i="139"/>
  <c r="J4" i="139"/>
  <c r="K35" i="138"/>
  <c r="K34" i="138"/>
  <c r="K33" i="138"/>
  <c r="K32" i="138"/>
  <c r="K31" i="138"/>
  <c r="L27" i="138"/>
  <c r="L26" i="138"/>
  <c r="L25" i="138"/>
  <c r="L24" i="138"/>
  <c r="L23" i="138"/>
  <c r="L19" i="138"/>
  <c r="M19" i="138" s="1"/>
  <c r="K19" i="138"/>
  <c r="L18" i="138"/>
  <c r="K18" i="138"/>
  <c r="M18" i="138" s="1"/>
  <c r="L17" i="138"/>
  <c r="M17" i="138" s="1"/>
  <c r="K17" i="138"/>
  <c r="L16" i="138"/>
  <c r="M16" i="138" s="1"/>
  <c r="K16" i="138"/>
  <c r="L15" i="138"/>
  <c r="M15" i="138" s="1"/>
  <c r="K15" i="138"/>
  <c r="L14" i="138"/>
  <c r="K14" i="138"/>
  <c r="M14" i="138" s="1"/>
  <c r="L13" i="138"/>
  <c r="K13" i="138"/>
  <c r="L12" i="138"/>
  <c r="K12" i="138"/>
  <c r="L11" i="138"/>
  <c r="M11" i="138" s="1"/>
  <c r="K11" i="138"/>
  <c r="L10" i="138"/>
  <c r="K10" i="138"/>
  <c r="L9" i="138"/>
  <c r="K9" i="138"/>
  <c r="L8" i="138"/>
  <c r="M8" i="138" s="1"/>
  <c r="K8" i="138"/>
  <c r="L4" i="138"/>
  <c r="K4" i="138"/>
  <c r="J4" i="138"/>
  <c r="K35" i="137"/>
  <c r="K34" i="137"/>
  <c r="K33" i="137"/>
  <c r="K32" i="137"/>
  <c r="K31" i="137"/>
  <c r="L27" i="137"/>
  <c r="L26" i="137"/>
  <c r="L25" i="137"/>
  <c r="L24" i="137"/>
  <c r="L23" i="137"/>
  <c r="L19" i="137"/>
  <c r="K19" i="137"/>
  <c r="L18" i="137"/>
  <c r="K18" i="137"/>
  <c r="L17" i="137"/>
  <c r="K17" i="137"/>
  <c r="L16" i="137"/>
  <c r="K16" i="137"/>
  <c r="L15" i="137"/>
  <c r="M15" i="137" s="1"/>
  <c r="K15" i="137"/>
  <c r="L14" i="137"/>
  <c r="K14" i="137"/>
  <c r="L13" i="137"/>
  <c r="K13" i="137"/>
  <c r="L12" i="137"/>
  <c r="M12" i="137" s="1"/>
  <c r="K12" i="137"/>
  <c r="L11" i="137"/>
  <c r="M11" i="137" s="1"/>
  <c r="K11" i="137"/>
  <c r="L10" i="137"/>
  <c r="K10" i="137"/>
  <c r="L9" i="137"/>
  <c r="K9" i="137"/>
  <c r="L8" i="137"/>
  <c r="M8" i="137" s="1"/>
  <c r="K8" i="137"/>
  <c r="L4" i="137"/>
  <c r="K4" i="137"/>
  <c r="M25" i="137" s="1"/>
  <c r="J4" i="137"/>
  <c r="K35" i="136"/>
  <c r="K34" i="136"/>
  <c r="K33" i="136"/>
  <c r="K32" i="136"/>
  <c r="K31" i="136"/>
  <c r="L27" i="136"/>
  <c r="L26" i="136"/>
  <c r="L25" i="136"/>
  <c r="L24" i="136"/>
  <c r="L23" i="136"/>
  <c r="L19" i="136"/>
  <c r="K19" i="136"/>
  <c r="L18" i="136"/>
  <c r="K18" i="136"/>
  <c r="L17" i="136"/>
  <c r="K17" i="136"/>
  <c r="L16" i="136"/>
  <c r="K16" i="136"/>
  <c r="L15" i="136"/>
  <c r="M15" i="136" s="1"/>
  <c r="K15" i="136"/>
  <c r="L14" i="136"/>
  <c r="K14" i="136"/>
  <c r="L13" i="136"/>
  <c r="K13" i="136"/>
  <c r="L12" i="136"/>
  <c r="M12" i="136" s="1"/>
  <c r="K12" i="136"/>
  <c r="L11" i="136"/>
  <c r="K11" i="136"/>
  <c r="L10" i="136"/>
  <c r="K10" i="136"/>
  <c r="L9" i="136"/>
  <c r="K9" i="136"/>
  <c r="L8" i="136"/>
  <c r="M8" i="136" s="1"/>
  <c r="K8" i="136"/>
  <c r="K4" i="136"/>
  <c r="M25" i="136" s="1"/>
  <c r="J4" i="136"/>
  <c r="K35" i="135"/>
  <c r="K34" i="135"/>
  <c r="K33" i="135"/>
  <c r="K32" i="135"/>
  <c r="K31" i="135"/>
  <c r="L27" i="135"/>
  <c r="L26" i="135"/>
  <c r="L25" i="135"/>
  <c r="L24" i="135"/>
  <c r="L23" i="135"/>
  <c r="L19" i="135"/>
  <c r="K19" i="135"/>
  <c r="L18" i="135"/>
  <c r="K18" i="135"/>
  <c r="L17" i="135"/>
  <c r="K17" i="135"/>
  <c r="L16" i="135"/>
  <c r="K16" i="135"/>
  <c r="L15" i="135"/>
  <c r="M15" i="135" s="1"/>
  <c r="K15" i="135"/>
  <c r="L14" i="135"/>
  <c r="K14" i="135"/>
  <c r="L13" i="135"/>
  <c r="K13" i="135"/>
  <c r="L12" i="135"/>
  <c r="K12" i="135"/>
  <c r="L11" i="135"/>
  <c r="M11" i="135" s="1"/>
  <c r="K11" i="135"/>
  <c r="L10" i="135"/>
  <c r="K10" i="135"/>
  <c r="L9" i="135"/>
  <c r="K9" i="135"/>
  <c r="L8" i="135"/>
  <c r="K8" i="135"/>
  <c r="K4" i="135"/>
  <c r="J4" i="135"/>
  <c r="K35" i="134"/>
  <c r="K34" i="134"/>
  <c r="K33" i="134"/>
  <c r="K32" i="134"/>
  <c r="K31" i="134"/>
  <c r="L27" i="134"/>
  <c r="L26" i="134"/>
  <c r="L25" i="134"/>
  <c r="L24" i="134"/>
  <c r="L23" i="134"/>
  <c r="L19" i="134"/>
  <c r="M19" i="134" s="1"/>
  <c r="K19" i="134"/>
  <c r="L18" i="134"/>
  <c r="K18" i="134"/>
  <c r="L17" i="134"/>
  <c r="M17" i="134" s="1"/>
  <c r="K17" i="134"/>
  <c r="L16" i="134"/>
  <c r="K16" i="134"/>
  <c r="L15" i="134"/>
  <c r="M15" i="134" s="1"/>
  <c r="K15" i="134"/>
  <c r="L14" i="134"/>
  <c r="K14" i="134"/>
  <c r="L13" i="134"/>
  <c r="M13" i="134" s="1"/>
  <c r="K13" i="134"/>
  <c r="L12" i="134"/>
  <c r="K12" i="134"/>
  <c r="L11" i="134"/>
  <c r="K11" i="134"/>
  <c r="L10" i="134"/>
  <c r="K10" i="134"/>
  <c r="L9" i="134"/>
  <c r="K9" i="134"/>
  <c r="L8" i="134"/>
  <c r="K8" i="134"/>
  <c r="K4" i="134"/>
  <c r="M25" i="134" s="1"/>
  <c r="J4" i="134"/>
  <c r="L32" i="134" s="1"/>
  <c r="K35" i="133"/>
  <c r="K34" i="133"/>
  <c r="K33" i="133"/>
  <c r="K32" i="133"/>
  <c r="K31" i="133"/>
  <c r="L27" i="133"/>
  <c r="L26" i="133"/>
  <c r="L25" i="133"/>
  <c r="L24" i="133"/>
  <c r="L23" i="133"/>
  <c r="L19" i="133"/>
  <c r="M19" i="133" s="1"/>
  <c r="K19" i="133"/>
  <c r="L18" i="133"/>
  <c r="K18" i="133"/>
  <c r="M18" i="133" s="1"/>
  <c r="L17" i="133"/>
  <c r="M17" i="133" s="1"/>
  <c r="K17" i="133"/>
  <c r="L16" i="133"/>
  <c r="K16" i="133"/>
  <c r="M16" i="133" s="1"/>
  <c r="L15" i="133"/>
  <c r="M15" i="133" s="1"/>
  <c r="K15" i="133"/>
  <c r="L14" i="133"/>
  <c r="K14" i="133"/>
  <c r="M14" i="133" s="1"/>
  <c r="L13" i="133"/>
  <c r="K13" i="133"/>
  <c r="L12" i="133"/>
  <c r="K12" i="133"/>
  <c r="M12" i="133" s="1"/>
  <c r="L11" i="133"/>
  <c r="M11" i="133" s="1"/>
  <c r="K11" i="133"/>
  <c r="L10" i="133"/>
  <c r="K10" i="133"/>
  <c r="L9" i="133"/>
  <c r="K9" i="133"/>
  <c r="L8" i="133"/>
  <c r="K8" i="133"/>
  <c r="M8" i="133" s="1"/>
  <c r="L4" i="133"/>
  <c r="K4" i="133"/>
  <c r="J4" i="133"/>
  <c r="K35" i="132"/>
  <c r="K34" i="132"/>
  <c r="K33" i="132"/>
  <c r="K32" i="132"/>
  <c r="L32" i="132" s="1"/>
  <c r="K31" i="132"/>
  <c r="L27" i="132"/>
  <c r="L26" i="132"/>
  <c r="L25" i="132"/>
  <c r="L24" i="132"/>
  <c r="L23" i="132"/>
  <c r="L19" i="132"/>
  <c r="K19" i="132"/>
  <c r="L18" i="132"/>
  <c r="K18" i="132"/>
  <c r="L17" i="132"/>
  <c r="K17" i="132"/>
  <c r="L16" i="132"/>
  <c r="K16" i="132"/>
  <c r="L15" i="132"/>
  <c r="K15" i="132"/>
  <c r="L14" i="132"/>
  <c r="K14" i="132"/>
  <c r="L13" i="132"/>
  <c r="M13" i="132" s="1"/>
  <c r="K13" i="132"/>
  <c r="L12" i="132"/>
  <c r="K12" i="132"/>
  <c r="M12" i="132" s="1"/>
  <c r="L11" i="132"/>
  <c r="M11" i="132" s="1"/>
  <c r="K11" i="132"/>
  <c r="L10" i="132"/>
  <c r="K10" i="132"/>
  <c r="M10" i="132" s="1"/>
  <c r="L9" i="132"/>
  <c r="M9" i="132" s="1"/>
  <c r="K9" i="132"/>
  <c r="L8" i="132"/>
  <c r="K8" i="132"/>
  <c r="L4" i="132"/>
  <c r="K4" i="132"/>
  <c r="M25" i="132" s="1"/>
  <c r="J4" i="132"/>
  <c r="K35" i="131"/>
  <c r="K34" i="131"/>
  <c r="K33" i="131"/>
  <c r="K32" i="131"/>
  <c r="L32" i="131" s="1"/>
  <c r="K31" i="131"/>
  <c r="L27" i="131"/>
  <c r="L26" i="131"/>
  <c r="L25" i="131"/>
  <c r="L24" i="131"/>
  <c r="L23" i="131"/>
  <c r="L19" i="131"/>
  <c r="K19" i="131"/>
  <c r="L18" i="131"/>
  <c r="K18" i="131"/>
  <c r="L17" i="131"/>
  <c r="K17" i="131"/>
  <c r="L16" i="131"/>
  <c r="K16" i="131"/>
  <c r="L15" i="131"/>
  <c r="K15" i="131"/>
  <c r="L14" i="131"/>
  <c r="K14" i="131"/>
  <c r="L13" i="131"/>
  <c r="M13" i="131" s="1"/>
  <c r="K13" i="131"/>
  <c r="M12" i="131"/>
  <c r="L12" i="131"/>
  <c r="K12" i="131"/>
  <c r="L11" i="131"/>
  <c r="M11" i="131" s="1"/>
  <c r="K11" i="131"/>
  <c r="L10" i="131"/>
  <c r="K10" i="131"/>
  <c r="M10" i="131" s="1"/>
  <c r="L9" i="131"/>
  <c r="M9" i="131" s="1"/>
  <c r="K9" i="131"/>
  <c r="L8" i="131"/>
  <c r="M8" i="131" s="1"/>
  <c r="K8" i="131"/>
  <c r="L4" i="131"/>
  <c r="K4" i="131"/>
  <c r="M25" i="131" s="1"/>
  <c r="J4" i="131"/>
  <c r="K35" i="130"/>
  <c r="L35" i="130" s="1"/>
  <c r="K34" i="130"/>
  <c r="K33" i="130"/>
  <c r="K32" i="130"/>
  <c r="K31" i="130"/>
  <c r="L27" i="130"/>
  <c r="L26" i="130"/>
  <c r="L25" i="130"/>
  <c r="L24" i="130"/>
  <c r="M24" i="130" s="1"/>
  <c r="L23" i="130"/>
  <c r="L19" i="130"/>
  <c r="M19" i="130" s="1"/>
  <c r="K19" i="130"/>
  <c r="L18" i="130"/>
  <c r="K18" i="130"/>
  <c r="L17" i="130"/>
  <c r="K17" i="130"/>
  <c r="L16" i="130"/>
  <c r="M16" i="130" s="1"/>
  <c r="K16" i="130"/>
  <c r="L15" i="130"/>
  <c r="M15" i="130" s="1"/>
  <c r="K15" i="130"/>
  <c r="L14" i="130"/>
  <c r="K14" i="130"/>
  <c r="L13" i="130"/>
  <c r="M13" i="130" s="1"/>
  <c r="K13" i="130"/>
  <c r="L12" i="130"/>
  <c r="M12" i="130" s="1"/>
  <c r="K12" i="130"/>
  <c r="L11" i="130"/>
  <c r="M11" i="130" s="1"/>
  <c r="K11" i="130"/>
  <c r="L10" i="130"/>
  <c r="K10" i="130"/>
  <c r="M10" i="130" s="1"/>
  <c r="L9" i="130"/>
  <c r="M9" i="130" s="1"/>
  <c r="K9" i="130"/>
  <c r="L8" i="130"/>
  <c r="M8" i="130" s="1"/>
  <c r="K8" i="130"/>
  <c r="L4" i="130"/>
  <c r="K4" i="130"/>
  <c r="M25" i="130" s="1"/>
  <c r="J4" i="130"/>
  <c r="L32" i="130" s="1"/>
  <c r="K35" i="129"/>
  <c r="K34" i="129"/>
  <c r="K33" i="129"/>
  <c r="K32" i="129"/>
  <c r="K31" i="129"/>
  <c r="L27" i="129"/>
  <c r="L26" i="129"/>
  <c r="L25" i="129"/>
  <c r="L24" i="129"/>
  <c r="L23" i="129"/>
  <c r="L19" i="129"/>
  <c r="M19" i="129" s="1"/>
  <c r="K19" i="129"/>
  <c r="L18" i="129"/>
  <c r="M18" i="129" s="1"/>
  <c r="K18" i="129"/>
  <c r="L17" i="129"/>
  <c r="M17" i="129" s="1"/>
  <c r="K17" i="129"/>
  <c r="L16" i="129"/>
  <c r="K16" i="129"/>
  <c r="L15" i="129"/>
  <c r="M15" i="129" s="1"/>
  <c r="K15" i="129"/>
  <c r="L14" i="129"/>
  <c r="K14" i="129"/>
  <c r="L13" i="129"/>
  <c r="M13" i="129" s="1"/>
  <c r="K13" i="129"/>
  <c r="L12" i="129"/>
  <c r="K12" i="129"/>
  <c r="L11" i="129"/>
  <c r="M11" i="129" s="1"/>
  <c r="K11" i="129"/>
  <c r="L10" i="129"/>
  <c r="M10" i="129" s="1"/>
  <c r="K10" i="129"/>
  <c r="L9" i="129"/>
  <c r="K9" i="129"/>
  <c r="L8" i="129"/>
  <c r="K8" i="129"/>
  <c r="K4" i="129"/>
  <c r="J4" i="129"/>
  <c r="L4" i="129" s="1"/>
  <c r="K35" i="128"/>
  <c r="K34" i="128"/>
  <c r="K33" i="128"/>
  <c r="K32" i="128"/>
  <c r="K31" i="128"/>
  <c r="L27" i="128"/>
  <c r="L26" i="128"/>
  <c r="L25" i="128"/>
  <c r="L24" i="128"/>
  <c r="L23" i="128"/>
  <c r="L19" i="128"/>
  <c r="M19" i="128" s="1"/>
  <c r="K19" i="128"/>
  <c r="L18" i="128"/>
  <c r="K18" i="128"/>
  <c r="L17" i="128"/>
  <c r="K17" i="128"/>
  <c r="L16" i="128"/>
  <c r="M16" i="128" s="1"/>
  <c r="K16" i="128"/>
  <c r="L15" i="128"/>
  <c r="K15" i="128"/>
  <c r="L14" i="128"/>
  <c r="M14" i="128" s="1"/>
  <c r="K14" i="128"/>
  <c r="L13" i="128"/>
  <c r="K13" i="128"/>
  <c r="L12" i="128"/>
  <c r="K12" i="128"/>
  <c r="L11" i="128"/>
  <c r="M11" i="128" s="1"/>
  <c r="K11" i="128"/>
  <c r="L10" i="128"/>
  <c r="K10" i="128"/>
  <c r="M10" i="128" s="1"/>
  <c r="L9" i="128"/>
  <c r="K9" i="128"/>
  <c r="L8" i="128"/>
  <c r="K8" i="128"/>
  <c r="K4" i="128"/>
  <c r="J4" i="128"/>
  <c r="K35" i="127"/>
  <c r="K34" i="127"/>
  <c r="K33" i="127"/>
  <c r="K32" i="127"/>
  <c r="K31" i="127"/>
  <c r="L27" i="127"/>
  <c r="L26" i="127"/>
  <c r="L25" i="127"/>
  <c r="L24" i="127"/>
  <c r="L23" i="127"/>
  <c r="L19" i="127"/>
  <c r="K19" i="127"/>
  <c r="L18" i="127"/>
  <c r="K18" i="127"/>
  <c r="L17" i="127"/>
  <c r="K17" i="127"/>
  <c r="L16" i="127"/>
  <c r="K16" i="127"/>
  <c r="L15" i="127"/>
  <c r="K15" i="127"/>
  <c r="L14" i="127"/>
  <c r="K14" i="127"/>
  <c r="L13" i="127"/>
  <c r="M13" i="127" s="1"/>
  <c r="K13" i="127"/>
  <c r="L12" i="127"/>
  <c r="K12" i="127"/>
  <c r="L11" i="127"/>
  <c r="K11" i="127"/>
  <c r="L10" i="127"/>
  <c r="K10" i="127"/>
  <c r="L9" i="127"/>
  <c r="K9" i="127"/>
  <c r="L8" i="127"/>
  <c r="K8" i="127"/>
  <c r="K4" i="127"/>
  <c r="J4" i="127"/>
  <c r="K35" i="126"/>
  <c r="K34" i="126"/>
  <c r="K33" i="126"/>
  <c r="K32" i="126"/>
  <c r="L32" i="126" s="1"/>
  <c r="K31" i="126"/>
  <c r="L27" i="126"/>
  <c r="L26" i="126"/>
  <c r="L25" i="126"/>
  <c r="L24" i="126"/>
  <c r="L23" i="126"/>
  <c r="M23" i="126" s="1"/>
  <c r="L19" i="126"/>
  <c r="K19" i="126"/>
  <c r="L18" i="126"/>
  <c r="K18" i="126"/>
  <c r="L17" i="126"/>
  <c r="K17" i="126"/>
  <c r="L16" i="126"/>
  <c r="K16" i="126"/>
  <c r="L15" i="126"/>
  <c r="M15" i="126" s="1"/>
  <c r="K15" i="126"/>
  <c r="L14" i="126"/>
  <c r="K14" i="126"/>
  <c r="L13" i="126"/>
  <c r="M13" i="126" s="1"/>
  <c r="K13" i="126"/>
  <c r="L12" i="126"/>
  <c r="M12" i="126" s="1"/>
  <c r="K12" i="126"/>
  <c r="L11" i="126"/>
  <c r="M11" i="126" s="1"/>
  <c r="K11" i="126"/>
  <c r="L10" i="126"/>
  <c r="K10" i="126"/>
  <c r="M10" i="126" s="1"/>
  <c r="L9" i="126"/>
  <c r="K9" i="126"/>
  <c r="L8" i="126"/>
  <c r="M8" i="126" s="1"/>
  <c r="K8" i="126"/>
  <c r="L4" i="126"/>
  <c r="K4" i="126"/>
  <c r="M25" i="126" s="1"/>
  <c r="J4" i="126"/>
  <c r="K35" i="125"/>
  <c r="K34" i="125"/>
  <c r="K33" i="125"/>
  <c r="K32" i="125"/>
  <c r="K31" i="125"/>
  <c r="L27" i="125"/>
  <c r="L26" i="125"/>
  <c r="L25" i="125"/>
  <c r="L24" i="125"/>
  <c r="L23" i="125"/>
  <c r="L19" i="125"/>
  <c r="M19" i="125" s="1"/>
  <c r="K19" i="125"/>
  <c r="L18" i="125"/>
  <c r="K18" i="125"/>
  <c r="L17" i="125"/>
  <c r="K17" i="125"/>
  <c r="L16" i="125"/>
  <c r="M16" i="125" s="1"/>
  <c r="K16" i="125"/>
  <c r="L15" i="125"/>
  <c r="M15" i="125" s="1"/>
  <c r="K15" i="125"/>
  <c r="L14" i="125"/>
  <c r="M14" i="125" s="1"/>
  <c r="K14" i="125"/>
  <c r="L13" i="125"/>
  <c r="M13" i="125" s="1"/>
  <c r="K13" i="125"/>
  <c r="L12" i="125"/>
  <c r="K12" i="125"/>
  <c r="M12" i="125" s="1"/>
  <c r="L11" i="125"/>
  <c r="M11" i="125" s="1"/>
  <c r="K11" i="125"/>
  <c r="L10" i="125"/>
  <c r="K10" i="125"/>
  <c r="L9" i="125"/>
  <c r="K9" i="125"/>
  <c r="L8" i="125"/>
  <c r="M8" i="125" s="1"/>
  <c r="K8" i="125"/>
  <c r="K4" i="125"/>
  <c r="J4" i="125"/>
  <c r="M39" i="13"/>
  <c r="M40" i="13"/>
  <c r="M121" i="13"/>
  <c r="M120" i="13"/>
  <c r="M119" i="13"/>
  <c r="M118" i="13"/>
  <c r="M117" i="13"/>
  <c r="M116" i="13"/>
  <c r="M115" i="13"/>
  <c r="M114" i="13"/>
  <c r="M113" i="13"/>
  <c r="M112" i="13"/>
  <c r="M111" i="13"/>
  <c r="M110" i="13"/>
  <c r="M109" i="13"/>
  <c r="M108" i="13"/>
  <c r="M107" i="13"/>
  <c r="M106" i="13"/>
  <c r="M105" i="13"/>
  <c r="M104" i="13"/>
  <c r="M103" i="13"/>
  <c r="M102" i="13"/>
  <c r="M101" i="13"/>
  <c r="M100" i="13"/>
  <c r="M99" i="13"/>
  <c r="M98" i="13"/>
  <c r="M97" i="13"/>
  <c r="M96" i="13"/>
  <c r="M95" i="13"/>
  <c r="M94" i="13"/>
  <c r="M93" i="13"/>
  <c r="M92" i="13"/>
  <c r="M91" i="13"/>
  <c r="M90" i="13"/>
  <c r="M89" i="13"/>
  <c r="M88" i="13"/>
  <c r="M87" i="13"/>
  <c r="M86" i="13"/>
  <c r="M85" i="13"/>
  <c r="M84" i="13"/>
  <c r="M83" i="13"/>
  <c r="M82" i="13"/>
  <c r="M81" i="13"/>
  <c r="M80" i="13"/>
  <c r="M79" i="13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7" i="13"/>
  <c r="M56" i="13"/>
  <c r="M58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K35" i="124"/>
  <c r="L35" i="124" s="1"/>
  <c r="K34" i="124"/>
  <c r="L34" i="124" s="1"/>
  <c r="K33" i="124"/>
  <c r="L33" i="124" s="1"/>
  <c r="K32" i="124"/>
  <c r="L32" i="124" s="1"/>
  <c r="K31" i="124"/>
  <c r="L27" i="124"/>
  <c r="L26" i="124"/>
  <c r="L25" i="124"/>
  <c r="L24" i="124"/>
  <c r="L23" i="124"/>
  <c r="L19" i="124"/>
  <c r="K19" i="124"/>
  <c r="L18" i="124"/>
  <c r="K18" i="124"/>
  <c r="L17" i="124"/>
  <c r="K17" i="124"/>
  <c r="L16" i="124"/>
  <c r="K16" i="124"/>
  <c r="L15" i="124"/>
  <c r="K15" i="124"/>
  <c r="L14" i="124"/>
  <c r="K14" i="124"/>
  <c r="L13" i="124"/>
  <c r="K13" i="124"/>
  <c r="L12" i="124"/>
  <c r="K12" i="124"/>
  <c r="L11" i="124"/>
  <c r="K11" i="124"/>
  <c r="L10" i="124"/>
  <c r="M10" i="124" s="1"/>
  <c r="K10" i="124"/>
  <c r="L9" i="124"/>
  <c r="M9" i="124" s="1"/>
  <c r="K9" i="124"/>
  <c r="L8" i="124"/>
  <c r="M8" i="124" s="1"/>
  <c r="K8" i="124"/>
  <c r="K4" i="124"/>
  <c r="J4" i="124"/>
  <c r="L4" i="124" s="1"/>
  <c r="L19" i="13"/>
  <c r="L18" i="13"/>
  <c r="L17" i="13"/>
  <c r="L16" i="13"/>
  <c r="L15" i="13"/>
  <c r="L14" i="13"/>
  <c r="L13" i="13"/>
  <c r="L12" i="13"/>
  <c r="L11" i="13"/>
  <c r="L10" i="13"/>
  <c r="L9" i="13"/>
  <c r="K9" i="13"/>
  <c r="L8" i="13"/>
  <c r="K19" i="13"/>
  <c r="K18" i="13"/>
  <c r="K17" i="13"/>
  <c r="K16" i="13"/>
  <c r="K15" i="13"/>
  <c r="K14" i="13"/>
  <c r="K13" i="13"/>
  <c r="K12" i="13"/>
  <c r="K11" i="13"/>
  <c r="K10" i="13"/>
  <c r="K8" i="13"/>
  <c r="M17" i="154" l="1"/>
  <c r="M25" i="154"/>
  <c r="L4" i="154"/>
  <c r="M26" i="154"/>
  <c r="M27" i="154"/>
  <c r="M11" i="154"/>
  <c r="L31" i="154"/>
  <c r="L32" i="154"/>
  <c r="M16" i="154"/>
  <c r="L33" i="154"/>
  <c r="M23" i="154"/>
  <c r="L34" i="154"/>
  <c r="M24" i="154"/>
  <c r="L35" i="154"/>
  <c r="M9" i="153"/>
  <c r="M13" i="153"/>
  <c r="M24" i="153"/>
  <c r="L35" i="153"/>
  <c r="M10" i="153"/>
  <c r="M25" i="153"/>
  <c r="M26" i="153"/>
  <c r="M18" i="153"/>
  <c r="M27" i="153"/>
  <c r="L31" i="153"/>
  <c r="M8" i="153"/>
  <c r="M12" i="153"/>
  <c r="L32" i="153"/>
  <c r="L33" i="153"/>
  <c r="L34" i="153"/>
  <c r="M9" i="152"/>
  <c r="L34" i="152"/>
  <c r="M10" i="152"/>
  <c r="L35" i="152"/>
  <c r="M26" i="152"/>
  <c r="M27" i="152"/>
  <c r="L31" i="152"/>
  <c r="M8" i="152"/>
  <c r="M23" i="152"/>
  <c r="M24" i="152"/>
  <c r="L33" i="152"/>
  <c r="M16" i="151"/>
  <c r="M24" i="151"/>
  <c r="L34" i="151"/>
  <c r="L35" i="151"/>
  <c r="M26" i="151"/>
  <c r="M14" i="151"/>
  <c r="M18" i="151"/>
  <c r="M27" i="151"/>
  <c r="L31" i="151"/>
  <c r="L4" i="151"/>
  <c r="M11" i="151"/>
  <c r="M12" i="151"/>
  <c r="M19" i="151"/>
  <c r="M23" i="151"/>
  <c r="L33" i="151"/>
  <c r="M23" i="150"/>
  <c r="L33" i="150"/>
  <c r="M24" i="150"/>
  <c r="L34" i="150"/>
  <c r="L35" i="150"/>
  <c r="M17" i="150"/>
  <c r="M26" i="150"/>
  <c r="M18" i="150"/>
  <c r="M27" i="150"/>
  <c r="L4" i="150"/>
  <c r="M11" i="150"/>
  <c r="L31" i="150"/>
  <c r="M12" i="150"/>
  <c r="M15" i="150"/>
  <c r="M19" i="150"/>
  <c r="M8" i="149"/>
  <c r="M23" i="149"/>
  <c r="L33" i="149"/>
  <c r="M24" i="149"/>
  <c r="L34" i="149"/>
  <c r="M9" i="149"/>
  <c r="L35" i="149"/>
  <c r="M10" i="149"/>
  <c r="M17" i="149"/>
  <c r="M26" i="149"/>
  <c r="M14" i="149"/>
  <c r="M18" i="149"/>
  <c r="M27" i="149"/>
  <c r="L31" i="149"/>
  <c r="M15" i="149"/>
  <c r="M19" i="149"/>
  <c r="L32" i="148"/>
  <c r="M12" i="148"/>
  <c r="M16" i="148"/>
  <c r="M25" i="148"/>
  <c r="M10" i="148"/>
  <c r="M8" i="148"/>
  <c r="M23" i="148"/>
  <c r="M24" i="148"/>
  <c r="L33" i="148"/>
  <c r="L34" i="148"/>
  <c r="M17" i="148"/>
  <c r="L35" i="148"/>
  <c r="M14" i="148"/>
  <c r="M18" i="148"/>
  <c r="M26" i="148"/>
  <c r="M27" i="148"/>
  <c r="L31" i="148"/>
  <c r="M15" i="148"/>
  <c r="M19" i="148"/>
  <c r="M15" i="147"/>
  <c r="M19" i="147"/>
  <c r="M12" i="147"/>
  <c r="M25" i="147"/>
  <c r="L32" i="147"/>
  <c r="M24" i="147"/>
  <c r="L33" i="147"/>
  <c r="L34" i="147"/>
  <c r="M10" i="147"/>
  <c r="M17" i="147"/>
  <c r="L35" i="147"/>
  <c r="M14" i="147"/>
  <c r="M18" i="147"/>
  <c r="M26" i="147"/>
  <c r="M27" i="147"/>
  <c r="M11" i="147"/>
  <c r="L31" i="147"/>
  <c r="M8" i="147"/>
  <c r="M23" i="147"/>
  <c r="M24" i="146"/>
  <c r="L33" i="146"/>
  <c r="L34" i="146"/>
  <c r="M10" i="146"/>
  <c r="M17" i="146"/>
  <c r="L35" i="146"/>
  <c r="M14" i="146"/>
  <c r="M18" i="146"/>
  <c r="M26" i="146"/>
  <c r="M27" i="146"/>
  <c r="M11" i="146"/>
  <c r="L31" i="146"/>
  <c r="M8" i="146"/>
  <c r="M23" i="146"/>
  <c r="M24" i="145"/>
  <c r="L33" i="145"/>
  <c r="L34" i="145"/>
  <c r="M10" i="145"/>
  <c r="M17" i="145"/>
  <c r="L35" i="145"/>
  <c r="M14" i="145"/>
  <c r="M18" i="145"/>
  <c r="M26" i="145"/>
  <c r="M27" i="145"/>
  <c r="M11" i="145"/>
  <c r="L31" i="145"/>
  <c r="M8" i="145"/>
  <c r="M23" i="145"/>
  <c r="L4" i="144"/>
  <c r="M16" i="144"/>
  <c r="M8" i="144"/>
  <c r="M23" i="144"/>
  <c r="L34" i="144"/>
  <c r="M14" i="144"/>
  <c r="M12" i="144"/>
  <c r="L33" i="144"/>
  <c r="M24" i="144"/>
  <c r="L35" i="144"/>
  <c r="M25" i="144"/>
  <c r="M10" i="144"/>
  <c r="M26" i="144"/>
  <c r="M18" i="144"/>
  <c r="M27" i="144"/>
  <c r="L31" i="144"/>
  <c r="L32" i="144"/>
  <c r="L31" i="143"/>
  <c r="M8" i="143"/>
  <c r="M12" i="143"/>
  <c r="M19" i="143"/>
  <c r="L33" i="143"/>
  <c r="M23" i="143"/>
  <c r="L34" i="143"/>
  <c r="M24" i="143"/>
  <c r="L35" i="143"/>
  <c r="M25" i="143"/>
  <c r="M10" i="143"/>
  <c r="M14" i="143"/>
  <c r="M26" i="143"/>
  <c r="M18" i="143"/>
  <c r="M27" i="143"/>
  <c r="L4" i="142"/>
  <c r="L32" i="142"/>
  <c r="M12" i="142"/>
  <c r="M25" i="142"/>
  <c r="M27" i="142"/>
  <c r="M11" i="142"/>
  <c r="L31" i="142"/>
  <c r="M8" i="142"/>
  <c r="M23" i="142"/>
  <c r="M24" i="142"/>
  <c r="L33" i="142"/>
  <c r="L34" i="142"/>
  <c r="M10" i="142"/>
  <c r="M17" i="142"/>
  <c r="L35" i="142"/>
  <c r="M14" i="142"/>
  <c r="M18" i="142"/>
  <c r="M26" i="142"/>
  <c r="M14" i="141"/>
  <c r="M18" i="141"/>
  <c r="M27" i="141"/>
  <c r="L31" i="141"/>
  <c r="M11" i="141"/>
  <c r="L4" i="141"/>
  <c r="M12" i="141"/>
  <c r="M15" i="141"/>
  <c r="M19" i="141"/>
  <c r="M23" i="141"/>
  <c r="L33" i="141"/>
  <c r="M24" i="141"/>
  <c r="L34" i="141"/>
  <c r="L35" i="141"/>
  <c r="M10" i="141"/>
  <c r="M17" i="141"/>
  <c r="M26" i="141"/>
  <c r="M10" i="140"/>
  <c r="M17" i="140"/>
  <c r="M26" i="140"/>
  <c r="M14" i="140"/>
  <c r="M18" i="140"/>
  <c r="M27" i="140"/>
  <c r="L31" i="140"/>
  <c r="M11" i="140"/>
  <c r="M12" i="140"/>
  <c r="M19" i="140"/>
  <c r="M23" i="140"/>
  <c r="L33" i="140"/>
  <c r="M24" i="140"/>
  <c r="L34" i="140"/>
  <c r="L35" i="140"/>
  <c r="M13" i="139"/>
  <c r="M17" i="139"/>
  <c r="M9" i="139"/>
  <c r="L4" i="139"/>
  <c r="M8" i="139"/>
  <c r="M12" i="139"/>
  <c r="M16" i="139"/>
  <c r="M25" i="139"/>
  <c r="L32" i="139"/>
  <c r="L35" i="139"/>
  <c r="M14" i="139"/>
  <c r="M18" i="139"/>
  <c r="M26" i="139"/>
  <c r="M27" i="139"/>
  <c r="L31" i="139"/>
  <c r="M23" i="139"/>
  <c r="M24" i="139"/>
  <c r="L33" i="139"/>
  <c r="M10" i="139"/>
  <c r="L34" i="139"/>
  <c r="M9" i="138"/>
  <c r="M13" i="138"/>
  <c r="M25" i="138"/>
  <c r="M10" i="138"/>
  <c r="M26" i="138"/>
  <c r="M27" i="138"/>
  <c r="L31" i="138"/>
  <c r="L32" i="138"/>
  <c r="M12" i="138"/>
  <c r="L33" i="138"/>
  <c r="M23" i="138"/>
  <c r="L34" i="138"/>
  <c r="M24" i="138"/>
  <c r="L35" i="138"/>
  <c r="M13" i="137"/>
  <c r="M10" i="137"/>
  <c r="L32" i="137"/>
  <c r="M9" i="137"/>
  <c r="M16" i="137"/>
  <c r="M24" i="137"/>
  <c r="L34" i="137"/>
  <c r="L35" i="137"/>
  <c r="M17" i="137"/>
  <c r="M26" i="137"/>
  <c r="M14" i="137"/>
  <c r="M18" i="137"/>
  <c r="M27" i="137"/>
  <c r="L31" i="137"/>
  <c r="M19" i="137"/>
  <c r="M23" i="137"/>
  <c r="L33" i="137"/>
  <c r="L4" i="136"/>
  <c r="M11" i="136"/>
  <c r="M9" i="136"/>
  <c r="M13" i="136"/>
  <c r="M10" i="136"/>
  <c r="L32" i="136"/>
  <c r="M16" i="136"/>
  <c r="M24" i="136"/>
  <c r="L34" i="136"/>
  <c r="L35" i="136"/>
  <c r="M17" i="136"/>
  <c r="M26" i="136"/>
  <c r="M14" i="136"/>
  <c r="M18" i="136"/>
  <c r="M27" i="136"/>
  <c r="L31" i="136"/>
  <c r="M19" i="136"/>
  <c r="M23" i="136"/>
  <c r="L33" i="136"/>
  <c r="M16" i="135"/>
  <c r="M13" i="135"/>
  <c r="M10" i="135"/>
  <c r="L4" i="135"/>
  <c r="M23" i="135"/>
  <c r="L34" i="135"/>
  <c r="M9" i="135"/>
  <c r="M24" i="135"/>
  <c r="L35" i="135"/>
  <c r="M25" i="135"/>
  <c r="M14" i="135"/>
  <c r="M17" i="135"/>
  <c r="M26" i="135"/>
  <c r="M18" i="135"/>
  <c r="M27" i="135"/>
  <c r="L31" i="135"/>
  <c r="L32" i="135"/>
  <c r="M8" i="135"/>
  <c r="M12" i="135"/>
  <c r="M19" i="135"/>
  <c r="L33" i="135"/>
  <c r="L34" i="134"/>
  <c r="M8" i="134"/>
  <c r="M23" i="134"/>
  <c r="M12" i="134"/>
  <c r="L33" i="134"/>
  <c r="M16" i="134"/>
  <c r="M24" i="134"/>
  <c r="L35" i="134"/>
  <c r="M9" i="134"/>
  <c r="M10" i="134"/>
  <c r="M26" i="134"/>
  <c r="M14" i="134"/>
  <c r="M18" i="134"/>
  <c r="M27" i="134"/>
  <c r="L31" i="134"/>
  <c r="L4" i="134"/>
  <c r="M11" i="134"/>
  <c r="L31" i="133"/>
  <c r="L32" i="133"/>
  <c r="L33" i="133"/>
  <c r="M23" i="133"/>
  <c r="L34" i="133"/>
  <c r="M24" i="133"/>
  <c r="L35" i="133"/>
  <c r="M9" i="133"/>
  <c r="M13" i="133"/>
  <c r="M25" i="133"/>
  <c r="M10" i="133"/>
  <c r="M26" i="133"/>
  <c r="M27" i="133"/>
  <c r="M14" i="132"/>
  <c r="M18" i="132"/>
  <c r="M27" i="132"/>
  <c r="L31" i="132"/>
  <c r="M8" i="132"/>
  <c r="M15" i="132"/>
  <c r="M19" i="132"/>
  <c r="M23" i="132"/>
  <c r="L33" i="132"/>
  <c r="M16" i="132"/>
  <c r="M24" i="132"/>
  <c r="L34" i="132"/>
  <c r="L35" i="132"/>
  <c r="M17" i="132"/>
  <c r="M26" i="132"/>
  <c r="M14" i="131"/>
  <c r="M18" i="131"/>
  <c r="M27" i="131"/>
  <c r="L31" i="131"/>
  <c r="M15" i="131"/>
  <c r="M19" i="131"/>
  <c r="M23" i="131"/>
  <c r="L33" i="131"/>
  <c r="M16" i="131"/>
  <c r="M24" i="131"/>
  <c r="L34" i="131"/>
  <c r="L35" i="131"/>
  <c r="M17" i="131"/>
  <c r="M26" i="131"/>
  <c r="M17" i="130"/>
  <c r="M26" i="130"/>
  <c r="M14" i="130"/>
  <c r="M18" i="130"/>
  <c r="M27" i="130"/>
  <c r="L31" i="130"/>
  <c r="L33" i="130"/>
  <c r="M23" i="130"/>
  <c r="L34" i="130"/>
  <c r="M25" i="129"/>
  <c r="M14" i="129"/>
  <c r="M26" i="129"/>
  <c r="M27" i="129"/>
  <c r="L31" i="129"/>
  <c r="L32" i="129"/>
  <c r="M8" i="129"/>
  <c r="M12" i="129"/>
  <c r="L33" i="129"/>
  <c r="M16" i="129"/>
  <c r="M23" i="129"/>
  <c r="L34" i="129"/>
  <c r="M9" i="129"/>
  <c r="M24" i="129"/>
  <c r="L35" i="129"/>
  <c r="M9" i="128"/>
  <c r="M13" i="128"/>
  <c r="M24" i="128"/>
  <c r="L35" i="128"/>
  <c r="M25" i="128"/>
  <c r="M17" i="128"/>
  <c r="M26" i="128"/>
  <c r="L4" i="128"/>
  <c r="M18" i="128"/>
  <c r="M27" i="128"/>
  <c r="L31" i="128"/>
  <c r="M8" i="128"/>
  <c r="M12" i="128"/>
  <c r="M15" i="128"/>
  <c r="L32" i="128"/>
  <c r="L33" i="128"/>
  <c r="M23" i="128"/>
  <c r="L34" i="128"/>
  <c r="L4" i="127"/>
  <c r="M11" i="127"/>
  <c r="M15" i="127"/>
  <c r="M19" i="127"/>
  <c r="M12" i="127"/>
  <c r="M8" i="127"/>
  <c r="M25" i="127"/>
  <c r="M10" i="127"/>
  <c r="L32" i="127"/>
  <c r="M9" i="127"/>
  <c r="M16" i="127"/>
  <c r="M24" i="127"/>
  <c r="L33" i="127"/>
  <c r="L34" i="127"/>
  <c r="M17" i="127"/>
  <c r="L35" i="127"/>
  <c r="M14" i="127"/>
  <c r="M18" i="127"/>
  <c r="M26" i="127"/>
  <c r="M27" i="127"/>
  <c r="L31" i="127"/>
  <c r="M23" i="127"/>
  <c r="M9" i="126"/>
  <c r="M16" i="126"/>
  <c r="M24" i="126"/>
  <c r="L34" i="126"/>
  <c r="L35" i="126"/>
  <c r="M17" i="126"/>
  <c r="M26" i="126"/>
  <c r="M14" i="126"/>
  <c r="M18" i="126"/>
  <c r="M27" i="126"/>
  <c r="L31" i="126"/>
  <c r="M19" i="126"/>
  <c r="L33" i="126"/>
  <c r="M9" i="125"/>
  <c r="M23" i="125"/>
  <c r="L34" i="125"/>
  <c r="M24" i="125"/>
  <c r="L35" i="125"/>
  <c r="M10" i="125"/>
  <c r="M25" i="125"/>
  <c r="M17" i="125"/>
  <c r="M26" i="125"/>
  <c r="L4" i="125"/>
  <c r="M18" i="125"/>
  <c r="M27" i="125"/>
  <c r="L31" i="125"/>
  <c r="L32" i="125"/>
  <c r="L33" i="125"/>
  <c r="M13" i="124"/>
  <c r="M17" i="124"/>
  <c r="M14" i="124"/>
  <c r="M18" i="124"/>
  <c r="L31" i="124"/>
  <c r="M11" i="124"/>
  <c r="M15" i="124"/>
  <c r="M19" i="124"/>
  <c r="M12" i="124"/>
  <c r="M16" i="124"/>
  <c r="M25" i="124"/>
  <c r="M26" i="124"/>
  <c r="M23" i="124"/>
  <c r="M27" i="124"/>
  <c r="M24" i="124"/>
  <c r="K35" i="13"/>
  <c r="K34" i="13"/>
  <c r="K33" i="13"/>
  <c r="K32" i="13"/>
  <c r="K31" i="13"/>
  <c r="L23" i="13"/>
  <c r="L27" i="13"/>
  <c r="L26" i="13"/>
  <c r="L25" i="13"/>
  <c r="L24" i="13"/>
  <c r="M17" i="13"/>
  <c r="M15" i="13"/>
  <c r="M13" i="13"/>
  <c r="K4" i="13"/>
  <c r="J4" i="13"/>
  <c r="L33" i="13" l="1"/>
  <c r="L34" i="13"/>
  <c r="L31" i="13"/>
  <c r="L35" i="13"/>
  <c r="L32" i="13"/>
  <c r="M23" i="13"/>
  <c r="M19" i="13"/>
  <c r="M26" i="13"/>
  <c r="M24" i="13"/>
  <c r="M27" i="13"/>
  <c r="M25" i="13"/>
  <c r="L4" i="13"/>
  <c r="M9" i="13"/>
  <c r="M14" i="13"/>
  <c r="M18" i="13"/>
  <c r="M8" i="13"/>
  <c r="M10" i="13"/>
  <c r="M11" i="13"/>
  <c r="M12" i="13"/>
  <c r="M16" i="13"/>
</calcChain>
</file>

<file path=xl/sharedStrings.xml><?xml version="1.0" encoding="utf-8"?>
<sst xmlns="http://schemas.openxmlformats.org/spreadsheetml/2006/main" count="2578" uniqueCount="262">
  <si>
    <t>依頼日</t>
    <rPh sb="0" eb="2">
      <t>イライ</t>
    </rPh>
    <rPh sb="2" eb="3">
      <t>ビ</t>
    </rPh>
    <phoneticPr fontId="1"/>
  </si>
  <si>
    <t>依頼元所属</t>
    <rPh sb="0" eb="3">
      <t>イライモト</t>
    </rPh>
    <rPh sb="3" eb="5">
      <t>ショゾク</t>
    </rPh>
    <phoneticPr fontId="1"/>
  </si>
  <si>
    <t>依頼者名</t>
    <rPh sb="0" eb="4">
      <t>イライシャメイ</t>
    </rPh>
    <phoneticPr fontId="1"/>
  </si>
  <si>
    <t>ご利用者様名</t>
    <rPh sb="1" eb="5">
      <t>リヨウシャサマ</t>
    </rPh>
    <rPh sb="5" eb="6">
      <t>メイ</t>
    </rPh>
    <phoneticPr fontId="1"/>
  </si>
  <si>
    <t>備考</t>
    <rPh sb="0" eb="2">
      <t>ビコウ</t>
    </rPh>
    <phoneticPr fontId="1"/>
  </si>
  <si>
    <t>保険種別</t>
    <rPh sb="0" eb="4">
      <t>ホケンシュベツ</t>
    </rPh>
    <phoneticPr fontId="1"/>
  </si>
  <si>
    <t>医療</t>
    <rPh sb="0" eb="2">
      <t>イリョウ</t>
    </rPh>
    <phoneticPr fontId="1"/>
  </si>
  <si>
    <t>介護</t>
    <rPh sb="0" eb="2">
      <t>カイゴ</t>
    </rPh>
    <phoneticPr fontId="1"/>
  </si>
  <si>
    <t>不明</t>
    <rPh sb="0" eb="2">
      <t>フメイ</t>
    </rPh>
    <phoneticPr fontId="1"/>
  </si>
  <si>
    <t>×</t>
    <phoneticPr fontId="1"/>
  </si>
  <si>
    <t>自費</t>
    <rPh sb="0" eb="2">
      <t>ジヒ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</si>
  <si>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</si>
  <si>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</si>
  <si>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  <rPh sb="1" eb="2">
      <t>ガツ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</si>
  <si>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</si>
  <si>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</si>
  <si>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</si>
  <si>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7月</t>
    <rPh sb="1" eb="2">
      <t>ガツ</t>
    </rPh>
    <phoneticPr fontId="1"/>
  </si>
  <si>
    <t>8月</t>
    <rPh sb="1" eb="2">
      <t>ガツ</t>
    </rPh>
    <phoneticPr fontId="1"/>
  </si>
  <si>
    <t>9月</t>
    <rPh sb="1" eb="2">
      <t>ガツ</t>
    </rPh>
    <phoneticPr fontId="1"/>
  </si>
  <si>
    <t>10月</t>
    <rPh sb="2" eb="3">
      <t>ガツ</t>
    </rPh>
    <phoneticPr fontId="1"/>
  </si>
  <si>
    <t>11月</t>
    <rPh sb="2" eb="3">
      <t>ガツ</t>
    </rPh>
    <phoneticPr fontId="1"/>
  </si>
  <si>
    <t>12月</t>
    <rPh sb="2" eb="3">
      <t>ガツ</t>
    </rPh>
    <phoneticPr fontId="1"/>
  </si>
  <si>
    <t>月別依頼件数</t>
    <rPh sb="0" eb="2">
      <t>ツキベツ</t>
    </rPh>
    <rPh sb="2" eb="4">
      <t>イライ</t>
    </rPh>
    <rPh sb="4" eb="6">
      <t>ケンスウ</t>
    </rPh>
    <phoneticPr fontId="1"/>
  </si>
  <si>
    <t>月</t>
    <rPh sb="0" eb="1">
      <t>ツキ</t>
    </rPh>
    <phoneticPr fontId="1"/>
  </si>
  <si>
    <t>未介入理由分類</t>
    <rPh sb="0" eb="5">
      <t>ミカイニュウリユウ</t>
    </rPh>
    <rPh sb="5" eb="7">
      <t>ブンルイ</t>
    </rPh>
    <phoneticPr fontId="1"/>
  </si>
  <si>
    <t>入院・他施設への入居・ご逝去（不可抗力）</t>
    <rPh sb="0" eb="2">
      <t>ニュウイン</t>
    </rPh>
    <rPh sb="3" eb="4">
      <t>タ</t>
    </rPh>
    <rPh sb="4" eb="6">
      <t>シセツ</t>
    </rPh>
    <rPh sb="8" eb="10">
      <t>ニュウキョ</t>
    </rPh>
    <rPh sb="12" eb="14">
      <t>セイキョ</t>
    </rPh>
    <rPh sb="15" eb="19">
      <t>フカコウリョク</t>
    </rPh>
    <phoneticPr fontId="1"/>
  </si>
  <si>
    <t>その他</t>
    <rPh sb="2" eb="3">
      <t>タ</t>
    </rPh>
    <phoneticPr fontId="1"/>
  </si>
  <si>
    <t>指示書を出してもらえず</t>
    <rPh sb="0" eb="3">
      <t>シジショ</t>
    </rPh>
    <rPh sb="4" eb="5">
      <t>ダ</t>
    </rPh>
    <phoneticPr fontId="1"/>
  </si>
  <si>
    <t>介入理由が無い、なくなった（症状改善等）</t>
    <rPh sb="0" eb="2">
      <t>カイニュウ</t>
    </rPh>
    <rPh sb="2" eb="4">
      <t>リユウ</t>
    </rPh>
    <rPh sb="5" eb="6">
      <t>ナ</t>
    </rPh>
    <rPh sb="14" eb="19">
      <t>ショウジョウカイゼントウ</t>
    </rPh>
    <phoneticPr fontId="1"/>
  </si>
  <si>
    <t>介入に嫌悪・不安感（心理的ハードル）</t>
    <rPh sb="0" eb="2">
      <t>カイニュウ</t>
    </rPh>
    <rPh sb="3" eb="5">
      <t>ケンオ</t>
    </rPh>
    <rPh sb="6" eb="9">
      <t>フアンカン</t>
    </rPh>
    <rPh sb="10" eb="12">
      <t>シンリ</t>
    </rPh>
    <rPh sb="12" eb="13">
      <t>テキ</t>
    </rPh>
    <phoneticPr fontId="1"/>
  </si>
  <si>
    <t>該当数</t>
    <rPh sb="0" eb="3">
      <t>ガイトウスウ</t>
    </rPh>
    <phoneticPr fontId="1"/>
  </si>
  <si>
    <t>〇</t>
    <phoneticPr fontId="1"/>
  </si>
  <si>
    <t>総介入率</t>
    <rPh sb="0" eb="4">
      <t>ソウカイニュウリツ</t>
    </rPh>
    <phoneticPr fontId="1"/>
  </si>
  <si>
    <t>介入不可の理由別率　※介入不可内での割合分布</t>
    <rPh sb="0" eb="4">
      <t>カイニュウフカ</t>
    </rPh>
    <rPh sb="5" eb="9">
      <t>リユウベツリツ</t>
    </rPh>
    <rPh sb="11" eb="15">
      <t>カイニュウフカ</t>
    </rPh>
    <rPh sb="15" eb="16">
      <t>ナイ</t>
    </rPh>
    <rPh sb="18" eb="22">
      <t>ワリアイブンプ</t>
    </rPh>
    <phoneticPr fontId="1"/>
  </si>
  <si>
    <t>ご利用者様の保険種別</t>
  </si>
  <si>
    <t>医・介</t>
    <rPh sb="0" eb="1">
      <t>イ</t>
    </rPh>
    <rPh sb="2" eb="3">
      <t>カイ</t>
    </rPh>
    <phoneticPr fontId="1"/>
  </si>
  <si>
    <t>総依頼件数</t>
    <rPh sb="0" eb="1">
      <t>ソウ</t>
    </rPh>
    <rPh sb="1" eb="5">
      <t>イライケンスウ</t>
    </rPh>
    <phoneticPr fontId="1"/>
  </si>
  <si>
    <t>介入不可理由</t>
    <rPh sb="0" eb="2">
      <t>カイニュウ</t>
    </rPh>
    <rPh sb="2" eb="4">
      <t>フカ</t>
    </rPh>
    <rPh sb="4" eb="6">
      <t>リユウ</t>
    </rPh>
    <phoneticPr fontId="1"/>
  </si>
  <si>
    <t>総介入不可件数</t>
    <rPh sb="0" eb="1">
      <t>ソウ</t>
    </rPh>
    <rPh sb="1" eb="3">
      <t>カイニュウ</t>
    </rPh>
    <rPh sb="3" eb="5">
      <t>フカ</t>
    </rPh>
    <rPh sb="5" eb="7">
      <t>ケンスウ</t>
    </rPh>
    <phoneticPr fontId="1"/>
  </si>
  <si>
    <t>総介入不可率</t>
    <rPh sb="0" eb="1">
      <t>ソウ</t>
    </rPh>
    <rPh sb="1" eb="3">
      <t>カイニュウ</t>
    </rPh>
    <rPh sb="3" eb="5">
      <t>フカ</t>
    </rPh>
    <rPh sb="5" eb="6">
      <t>リツ</t>
    </rPh>
    <phoneticPr fontId="1"/>
  </si>
  <si>
    <t>月別介入不可率</t>
    <rPh sb="0" eb="2">
      <t>ツキベツ</t>
    </rPh>
    <rPh sb="2" eb="4">
      <t>カイニュウ</t>
    </rPh>
    <rPh sb="4" eb="6">
      <t>フカ</t>
    </rPh>
    <rPh sb="6" eb="7">
      <t>リツ</t>
    </rPh>
    <phoneticPr fontId="1"/>
  </si>
  <si>
    <t>月別介入不可件数</t>
    <rPh sb="2" eb="4">
      <t>カイニュウ</t>
    </rPh>
    <rPh sb="4" eb="6">
      <t>フカ</t>
    </rPh>
    <rPh sb="6" eb="8">
      <t>ケンスウ</t>
    </rPh>
    <phoneticPr fontId="1"/>
  </si>
  <si>
    <t>総依頼数内での比率</t>
    <rPh sb="0" eb="3">
      <t>ソウイライ</t>
    </rPh>
    <rPh sb="3" eb="4">
      <t>スウ</t>
    </rPh>
    <rPh sb="4" eb="5">
      <t>ナイ</t>
    </rPh>
    <rPh sb="7" eb="9">
      <t>ヒリツ</t>
    </rPh>
    <phoneticPr fontId="1"/>
  </si>
  <si>
    <t>1.ALLのシートのA～Hまでを入力or選択します。(不明な項目は未入力で構いません）</t>
    <rPh sb="16" eb="18">
      <t>ニュウリョク</t>
    </rPh>
    <rPh sb="20" eb="22">
      <t>センタク</t>
    </rPh>
    <rPh sb="27" eb="29">
      <t>フメイ</t>
    </rPh>
    <rPh sb="30" eb="32">
      <t>コウモク</t>
    </rPh>
    <rPh sb="33" eb="36">
      <t>ミニュウリョク</t>
    </rPh>
    <rPh sb="37" eb="38">
      <t>カマ</t>
    </rPh>
    <phoneticPr fontId="1"/>
  </si>
  <si>
    <t>※注意点</t>
    <rPh sb="1" eb="4">
      <t>チュウイテン</t>
    </rPh>
    <phoneticPr fontId="1"/>
  </si>
  <si>
    <t>・同じ事業所の名称は統一して下さい。（例えば「いしが在宅」と「いしが在宅ケアクリニック」等、略称と正式名称が混在するのは×）</t>
    <rPh sb="1" eb="2">
      <t>オナ</t>
    </rPh>
    <rPh sb="3" eb="6">
      <t>ジギョウショ</t>
    </rPh>
    <rPh sb="7" eb="9">
      <t>メイショウ</t>
    </rPh>
    <rPh sb="10" eb="12">
      <t>トウイツ</t>
    </rPh>
    <rPh sb="14" eb="15">
      <t>クダ</t>
    </rPh>
    <rPh sb="19" eb="20">
      <t>タト</t>
    </rPh>
    <rPh sb="26" eb="28">
      <t>ザイタク</t>
    </rPh>
    <rPh sb="34" eb="36">
      <t>ザイタク</t>
    </rPh>
    <rPh sb="44" eb="45">
      <t>ナド</t>
    </rPh>
    <rPh sb="46" eb="48">
      <t>リャクショウ</t>
    </rPh>
    <rPh sb="49" eb="51">
      <t>セイシキ</t>
    </rPh>
    <rPh sb="51" eb="53">
      <t>メイショウ</t>
    </rPh>
    <rPh sb="54" eb="56">
      <t>コンザイ</t>
    </rPh>
    <phoneticPr fontId="1"/>
  </si>
  <si>
    <t>・事業所別のシートに転記済みの依頼の行を、ALLのシートで改変（各項目の変更等）し、再度上記の操作をした場合、改変後のデータは転記されません。
　※事業所別のシートに転記されるのはまだ転記されていない依頼のみです。</t>
    <rPh sb="15" eb="17">
      <t>イライ</t>
    </rPh>
    <rPh sb="18" eb="19">
      <t>ギョウ</t>
    </rPh>
    <rPh sb="29" eb="31">
      <t>カイヘン</t>
    </rPh>
    <rPh sb="32" eb="35">
      <t>カクコウモク</t>
    </rPh>
    <rPh sb="36" eb="38">
      <t>ヘンコウ</t>
    </rPh>
    <rPh sb="38" eb="39">
      <t>トウ</t>
    </rPh>
    <rPh sb="42" eb="44">
      <t>サイド</t>
    </rPh>
    <rPh sb="44" eb="46">
      <t>ジョウキ</t>
    </rPh>
    <rPh sb="47" eb="49">
      <t>ソウサ</t>
    </rPh>
    <rPh sb="52" eb="54">
      <t>バアイ</t>
    </rPh>
    <rPh sb="55" eb="58">
      <t>カイヘンゴ</t>
    </rPh>
    <rPh sb="63" eb="65">
      <t>テンキ</t>
    </rPh>
    <rPh sb="83" eb="85">
      <t>テンキ</t>
    </rPh>
    <rPh sb="92" eb="94">
      <t>テンキ</t>
    </rPh>
    <rPh sb="100" eb="102">
      <t>イライ</t>
    </rPh>
    <phoneticPr fontId="1"/>
  </si>
  <si>
    <t>△</t>
    <phoneticPr fontId="1"/>
  </si>
  <si>
    <t>・原本のシートは触らないで下さい。</t>
    <rPh sb="1" eb="3">
      <t>ゲンポン</t>
    </rPh>
    <rPh sb="8" eb="9">
      <t>サワ</t>
    </rPh>
    <rPh sb="13" eb="14">
      <t>クダ</t>
    </rPh>
    <phoneticPr fontId="1"/>
  </si>
  <si>
    <t>2.ALLのシートのどこかでダブルクリックすると「はい・いいえ」のポップアップが出ます。「はい」を選択すると事業所別のシートが生成されます。
　また、既にその事業所のシートがある場合は新しい依頼だけがそのシートに転記されます。</t>
    <rPh sb="40" eb="41">
      <t>デ</t>
    </rPh>
    <rPh sb="49" eb="51">
      <t>センタク</t>
    </rPh>
    <rPh sb="54" eb="58">
      <t>ジギョウショベツ</t>
    </rPh>
    <rPh sb="63" eb="65">
      <t>セイセイ</t>
    </rPh>
    <rPh sb="75" eb="76">
      <t>スデ</t>
    </rPh>
    <rPh sb="79" eb="82">
      <t>ジギョウショ</t>
    </rPh>
    <rPh sb="89" eb="91">
      <t>バアイ</t>
    </rPh>
    <rPh sb="92" eb="93">
      <t>アタラ</t>
    </rPh>
    <rPh sb="95" eb="97">
      <t>イライ</t>
    </rPh>
    <rPh sb="106" eb="108">
      <t>テンキ</t>
    </rPh>
    <phoneticPr fontId="1"/>
  </si>
  <si>
    <t>×</t>
  </si>
  <si>
    <t>〇</t>
  </si>
  <si>
    <t>新規依頼に対する介入不可率　仕様書</t>
    <rPh sb="0" eb="2">
      <t>シンキ</t>
    </rPh>
    <rPh sb="2" eb="4">
      <t>イライ</t>
    </rPh>
    <rPh sb="5" eb="6">
      <t>タイ</t>
    </rPh>
    <rPh sb="8" eb="10">
      <t>カイニュウ</t>
    </rPh>
    <rPh sb="10" eb="12">
      <t>フカ</t>
    </rPh>
    <rPh sb="12" eb="13">
      <t>リツ</t>
    </rPh>
    <rPh sb="14" eb="17">
      <t>シヨウショ</t>
    </rPh>
    <phoneticPr fontId="1"/>
  </si>
  <si>
    <t>介入不可内での比率</t>
    <rPh sb="2" eb="4">
      <t>フカ</t>
    </rPh>
    <phoneticPr fontId="1"/>
  </si>
  <si>
    <t>介入不可</t>
    <rPh sb="0" eb="2">
      <t>カイニュウ</t>
    </rPh>
    <rPh sb="2" eb="4">
      <t>フカ</t>
    </rPh>
    <phoneticPr fontId="1"/>
  </si>
  <si>
    <t>介入保留中</t>
    <rPh sb="0" eb="5">
      <t>カイニュウホリュウチュウ</t>
    </rPh>
    <phoneticPr fontId="1"/>
  </si>
  <si>
    <t>介入可　　　</t>
    <rPh sb="0" eb="2">
      <t>カイニュウ</t>
    </rPh>
    <rPh sb="2" eb="3">
      <t>カ</t>
    </rPh>
    <phoneticPr fontId="1"/>
  </si>
  <si>
    <t>介入可否 ※1</t>
    <rPh sb="0" eb="2">
      <t>カイニュウ</t>
    </rPh>
    <rPh sb="2" eb="4">
      <t>カヒ</t>
    </rPh>
    <phoneticPr fontId="1"/>
  </si>
  <si>
    <t>※1 介入可否欄の選択肢の説明</t>
    <phoneticPr fontId="1"/>
  </si>
  <si>
    <t>※1 介入可否欄の選択肢の説明</t>
    <rPh sb="3" eb="5">
      <t>カイニュウ</t>
    </rPh>
    <rPh sb="5" eb="7">
      <t>カヒ</t>
    </rPh>
    <rPh sb="7" eb="8">
      <t>ラン</t>
    </rPh>
    <rPh sb="9" eb="12">
      <t>センタクシ</t>
    </rPh>
    <rPh sb="13" eb="15">
      <t>セツメイ</t>
    </rPh>
    <phoneticPr fontId="1"/>
  </si>
  <si>
    <t>施設名</t>
    <rPh sb="0" eb="3">
      <t>シセツメイ</t>
    </rPh>
    <phoneticPr fontId="1"/>
  </si>
  <si>
    <t>依頼数</t>
    <rPh sb="0" eb="3">
      <t>イライスウ</t>
    </rPh>
    <phoneticPr fontId="1"/>
  </si>
  <si>
    <t>介入不可数</t>
    <rPh sb="4" eb="5">
      <t>スウ</t>
    </rPh>
    <phoneticPr fontId="1"/>
  </si>
  <si>
    <t>介入不可率</t>
    <phoneticPr fontId="1"/>
  </si>
  <si>
    <t>施設別依頼数・介入不可率</t>
    <rPh sb="0" eb="3">
      <t>シセツベツ</t>
    </rPh>
    <rPh sb="3" eb="6">
      <t>イライスウ</t>
    </rPh>
    <rPh sb="7" eb="12">
      <t>カイニュウフカリツ</t>
    </rPh>
    <phoneticPr fontId="1"/>
  </si>
  <si>
    <t>保険別依頼件数</t>
    <rPh sb="0" eb="3">
      <t>ホケンベツ</t>
    </rPh>
    <rPh sb="3" eb="7">
      <t>イライケンスウ</t>
    </rPh>
    <phoneticPr fontId="1"/>
  </si>
  <si>
    <t>△</t>
  </si>
  <si>
    <t>かげのは在宅ケアセンター</t>
  </si>
  <si>
    <t>白峰ヶ丘ケアプラン</t>
  </si>
  <si>
    <t>いしかげ訪問サポート</t>
  </si>
  <si>
    <t>南条市総合ヘルス医療センター</t>
  </si>
  <si>
    <t>森ノ根ホームケア</t>
  </si>
  <si>
    <t>霞野の里ケアサービス</t>
  </si>
  <si>
    <t>居宅サポート わかな</t>
  </si>
  <si>
    <t>天ヶ杜在宅ケアステーション</t>
  </si>
  <si>
    <t>桜苑みづき</t>
  </si>
  <si>
    <t>菜野かほり</t>
  </si>
  <si>
    <t>ハーモニアやさと</t>
  </si>
  <si>
    <t>総合メンタルケアセンター ひなぎ</t>
  </si>
  <si>
    <t>羽根町くらし包括支援センター</t>
  </si>
  <si>
    <t>イトウファーマリンク</t>
  </si>
  <si>
    <t>市立南条中央病院</t>
  </si>
  <si>
    <t>桜英みずき苑</t>
  </si>
  <si>
    <t>フォーエバーライフケア</t>
  </si>
  <si>
    <t>シグナス訪問ケア</t>
  </si>
  <si>
    <t>桑名市総合ヘルス医療センター</t>
  </si>
  <si>
    <t>北ウェルフェアセンター</t>
  </si>
  <si>
    <t>ブルーミングケア</t>
  </si>
  <si>
    <t>ととクリニック</t>
  </si>
  <si>
    <t>菰野セイント十字ケア</t>
  </si>
  <si>
    <t>ヴィラ四条南</t>
  </si>
  <si>
    <t>居宅ケア スウィート</t>
  </si>
  <si>
    <t>しらゆりケアリンク</t>
  </si>
  <si>
    <t>たけのねケアプラン</t>
  </si>
  <si>
    <t>ご利用者ご家族支援窓口</t>
  </si>
  <si>
    <t>諧朋苑ケアサポート</t>
  </si>
  <si>
    <t>なでしこの家ケアステーション</t>
  </si>
  <si>
    <t>あ山 え男様</t>
  </si>
  <si>
    <t>く田 ぬ介CM</t>
  </si>
  <si>
    <t>そ川 う斗NS</t>
  </si>
  <si>
    <t>み森 け真様</t>
  </si>
  <si>
    <t>ら原 す郎NS</t>
  </si>
  <si>
    <t>ぬ林 も大様</t>
  </si>
  <si>
    <t>け野 ひ臣CM</t>
  </si>
  <si>
    <t>ち坂 る希CM</t>
  </si>
  <si>
    <t>り松 ね馬CM</t>
  </si>
  <si>
    <t>も谷 せ修Dr</t>
  </si>
  <si>
    <t>ひ山 う也様</t>
  </si>
  <si>
    <t>す川 き誠CM</t>
  </si>
  <si>
    <t>な沢 み翔CM</t>
  </si>
  <si>
    <t>う森 つ慎CM</t>
  </si>
  <si>
    <t>よ橋 ほ雅様</t>
  </si>
  <si>
    <t>へ野 ら心CM</t>
  </si>
  <si>
    <t>か山 え斗Dr</t>
  </si>
  <si>
    <t>と村 し史様</t>
  </si>
  <si>
    <t>ば田 ふ誠CM</t>
  </si>
  <si>
    <t>め木 せ陽Dr</t>
  </si>
  <si>
    <t>る川 さ斗様</t>
  </si>
  <si>
    <t>も田 る優CM</t>
  </si>
  <si>
    <t>み谷 ぬ斗Dr</t>
  </si>
  <si>
    <t>れ島 し真CM</t>
  </si>
  <si>
    <t>た川 こ也様</t>
  </si>
  <si>
    <t>ち林 み隼CM</t>
  </si>
  <si>
    <t>の森 へ介様</t>
  </si>
  <si>
    <t>さ坂 ぬ志CM</t>
  </si>
  <si>
    <t>え川 う悟NS</t>
  </si>
  <si>
    <t>ろ原 け斗Dr</t>
  </si>
  <si>
    <t>ぬ田 ま久CM</t>
  </si>
  <si>
    <t>わ野 り士様</t>
  </si>
  <si>
    <t>そ山 え翔CM</t>
  </si>
  <si>
    <t>れ松 き介様</t>
  </si>
  <si>
    <t>す井 ぬ臣CM</t>
  </si>
  <si>
    <t>つ木 み真Dr</t>
  </si>
  <si>
    <t>は林 せ平様</t>
  </si>
  <si>
    <t>よ水 ね織CM</t>
  </si>
  <si>
    <t>う崎 そ太NS</t>
  </si>
  <si>
    <t>め野 ぬ一様</t>
  </si>
  <si>
    <t>は藤 そ大様</t>
  </si>
  <si>
    <t>ほ谷 へ斗SW</t>
  </si>
  <si>
    <t>け島 み斗NS</t>
  </si>
  <si>
    <t>あ藤 け也様</t>
  </si>
  <si>
    <t>す沢 つ士様</t>
  </si>
  <si>
    <t>わ松 ぬ心CM</t>
  </si>
  <si>
    <t>ね藤 る也様</t>
  </si>
  <si>
    <t>れ田 み章CM</t>
  </si>
  <si>
    <t>そ口 せ人CM</t>
  </si>
  <si>
    <t>と垣 ほ志CM</t>
  </si>
  <si>
    <t>る城 み斗CM</t>
  </si>
  <si>
    <t>ま西 る介様</t>
  </si>
  <si>
    <t>ね村 し誠CM</t>
  </si>
  <si>
    <t>ふ木 り優様</t>
  </si>
  <si>
    <t>え川 た士様</t>
  </si>
  <si>
    <t>わ沢 う修Dr</t>
  </si>
  <si>
    <t>け田 そ悟CM</t>
  </si>
  <si>
    <t>り室 ね成CM</t>
  </si>
  <si>
    <t>ふ川 つ樹様</t>
  </si>
  <si>
    <t>み野 す雅Dr</t>
  </si>
  <si>
    <t>そ林 え臣CM</t>
  </si>
  <si>
    <t>う岩 い真CM</t>
  </si>
  <si>
    <t>を谷 ぬ真CM</t>
  </si>
  <si>
    <t>ひ森 そ斗様</t>
  </si>
  <si>
    <t>ぬ条 けNS</t>
  </si>
  <si>
    <t>は尾 き慎CM</t>
  </si>
  <si>
    <t>か達 す翔CM</t>
  </si>
  <si>
    <t>た宝 う斗Dr</t>
  </si>
  <si>
    <t>の口 け志CM</t>
  </si>
  <si>
    <t>い比 そ吾CM</t>
  </si>
  <si>
    <t>む科 ち真CM</t>
  </si>
  <si>
    <t>め渕 ふ花様</t>
  </si>
  <si>
    <t>を流 う翼CM</t>
  </si>
  <si>
    <t>き見 み治Dr</t>
  </si>
  <si>
    <t>れ坂 そ悟CM</t>
  </si>
  <si>
    <t>の見 う真NS</t>
  </si>
  <si>
    <t>へ野 そ真CM</t>
  </si>
  <si>
    <t>み子 え大Dr</t>
  </si>
  <si>
    <t>け出 い心様</t>
  </si>
  <si>
    <t>Q田 R斗</t>
  </si>
  <si>
    <t>A森 K也</t>
  </si>
  <si>
    <t>Z川 Y樹</t>
  </si>
  <si>
    <t>K崎 H太</t>
  </si>
  <si>
    <t>B峰 D斗</t>
  </si>
  <si>
    <t>M林 A介</t>
  </si>
  <si>
    <t>L田 P太</t>
  </si>
  <si>
    <t>S坂 V斗</t>
  </si>
  <si>
    <t>G田 C</t>
  </si>
  <si>
    <t>N森 Z太</t>
  </si>
  <si>
    <t>D山 E太</t>
  </si>
  <si>
    <t>X田 H斗</t>
  </si>
  <si>
    <t>P木 M</t>
  </si>
  <si>
    <t>H森 Y</t>
  </si>
  <si>
    <t>W川 K郎</t>
  </si>
  <si>
    <t>E谷 J海</t>
  </si>
  <si>
    <t>Y田 T介</t>
  </si>
  <si>
    <t>R藤 S太</t>
  </si>
  <si>
    <t>U田 F人</t>
  </si>
  <si>
    <t>T林 N</t>
  </si>
  <si>
    <t>C木 X介</t>
  </si>
  <si>
    <t>J田 D太</t>
  </si>
  <si>
    <t>F谷 B人</t>
  </si>
  <si>
    <t>O林 R太</t>
  </si>
  <si>
    <t>V杉 Q</t>
  </si>
  <si>
    <t>I川 G</t>
  </si>
  <si>
    <t>K田 Z太</t>
  </si>
  <si>
    <t>M崎 B介</t>
  </si>
  <si>
    <t>S田 P介</t>
  </si>
  <si>
    <t>G藤 C太</t>
  </si>
  <si>
    <t>Q川 L海</t>
  </si>
  <si>
    <t>A野 W斗</t>
  </si>
  <si>
    <t>Z田 K介</t>
  </si>
  <si>
    <t>B島 H史</t>
  </si>
  <si>
    <t>T森 Y太</t>
  </si>
  <si>
    <t>P井 F斗</t>
  </si>
  <si>
    <t>D杉 U介</t>
  </si>
  <si>
    <t>L藤 R介</t>
  </si>
  <si>
    <t>Y山 A介</t>
  </si>
  <si>
    <t>E口 J介</t>
  </si>
  <si>
    <t>X田 H樹</t>
  </si>
  <si>
    <t>H川 C樹</t>
  </si>
  <si>
    <t>C島 W太</t>
  </si>
  <si>
    <t>F谷 K介</t>
  </si>
  <si>
    <t>N田 Z樹</t>
  </si>
  <si>
    <t>O林 D海</t>
  </si>
  <si>
    <t>V島 S太</t>
  </si>
  <si>
    <t>I山 M介</t>
  </si>
  <si>
    <t>K田 T樹</t>
  </si>
  <si>
    <t>M島 R人</t>
  </si>
  <si>
    <t>S藤 A介</t>
  </si>
  <si>
    <t>G上 Y太</t>
  </si>
  <si>
    <t>Q林 W斗</t>
  </si>
  <si>
    <t>A杉 J也</t>
  </si>
  <si>
    <t>Z上 P郎</t>
  </si>
  <si>
    <t>B田 K斗</t>
  </si>
  <si>
    <t>T崎 R太</t>
  </si>
  <si>
    <t>P川 N太</t>
  </si>
  <si>
    <t>D田 F海</t>
  </si>
  <si>
    <t>L藤 V介</t>
  </si>
  <si>
    <t>Y上 Z斗</t>
  </si>
  <si>
    <t>E沢 S太</t>
  </si>
  <si>
    <t>X林 G介</t>
  </si>
  <si>
    <t>H藤 K介</t>
  </si>
  <si>
    <t>C島 Y斗</t>
  </si>
  <si>
    <t>F田 R海</t>
  </si>
  <si>
    <t>N田 D介</t>
  </si>
  <si>
    <t>O山 T太</t>
  </si>
  <si>
    <t>V上 M人</t>
  </si>
  <si>
    <t>I林 A太</t>
  </si>
  <si>
    <t>K森 P太</t>
  </si>
  <si>
    <t>M沢 Z也</t>
  </si>
  <si>
    <t>S田 E介</t>
  </si>
  <si>
    <t>G田 V斗</t>
  </si>
  <si>
    <t>Q林 C樹</t>
  </si>
  <si>
    <t>A川 B人</t>
  </si>
  <si>
    <t>Z田 K翔</t>
  </si>
  <si>
    <t>B島 D也</t>
  </si>
  <si>
    <t>T谷 F太</t>
  </si>
  <si>
    <t>入院・他施設への入居・ご逝去（不可抗力）</t>
  </si>
  <si>
    <t>不明</t>
  </si>
  <si>
    <t>介護</t>
  </si>
  <si>
    <t>介入に嫌悪・不安感（心理的ハードル）</t>
  </si>
  <si>
    <t>医療</t>
  </si>
  <si>
    <t>その他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</si>
</sst>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111827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2" xfId="0" applyBorder="1">
      <alignment vertical="center"/>
    </xf>
    <xf numFmtId="0" fontId="0" fillId="0" borderId="18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10" borderId="16" xfId="0" applyFill="1" applyBorder="1">
      <alignment vertical="center"/>
    </xf>
    <xf numFmtId="0" fontId="0" fillId="10" borderId="17" xfId="0" applyFill="1" applyBorder="1">
      <alignment vertical="center"/>
    </xf>
    <xf numFmtId="0" fontId="0" fillId="10" borderId="7" xfId="0" applyFill="1" applyBorder="1">
      <alignment vertical="center"/>
    </xf>
    <xf numFmtId="0" fontId="0" fillId="9" borderId="26" xfId="0" applyFill="1" applyBorder="1">
      <alignment vertical="center"/>
    </xf>
    <xf numFmtId="0" fontId="2" fillId="9" borderId="27" xfId="0" applyFont="1" applyFill="1" applyBorder="1">
      <alignment vertical="center"/>
    </xf>
    <xf numFmtId="0" fontId="0" fillId="9" borderId="28" xfId="0" applyFill="1" applyBorder="1">
      <alignment vertical="center"/>
    </xf>
    <xf numFmtId="9" fontId="3" fillId="0" borderId="8" xfId="0" applyNumberFormat="1" applyFont="1" applyBorder="1">
      <alignment vertical="center"/>
    </xf>
    <xf numFmtId="9" fontId="0" fillId="0" borderId="18" xfId="0" applyNumberFormat="1" applyBorder="1">
      <alignment vertical="center"/>
    </xf>
    <xf numFmtId="0" fontId="0" fillId="12" borderId="6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8" xfId="0" applyFill="1" applyBorder="1">
      <alignment vertical="center"/>
    </xf>
    <xf numFmtId="9" fontId="0" fillId="0" borderId="29" xfId="0" applyNumberFormat="1" applyBorder="1">
      <alignment vertical="center"/>
    </xf>
    <xf numFmtId="0" fontId="0" fillId="8" borderId="30" xfId="0" applyFill="1" applyBorder="1">
      <alignment vertical="center"/>
    </xf>
    <xf numFmtId="0" fontId="0" fillId="0" borderId="31" xfId="0" applyBorder="1">
      <alignment vertical="center"/>
    </xf>
    <xf numFmtId="0" fontId="0" fillId="0" borderId="31" xfId="0" applyBorder="1" applyAlignment="1">
      <alignment vertical="center" wrapText="1"/>
    </xf>
    <xf numFmtId="0" fontId="4" fillId="0" borderId="31" xfId="0" applyFont="1" applyBorder="1">
      <alignment vertical="center"/>
    </xf>
    <xf numFmtId="0" fontId="0" fillId="0" borderId="32" xfId="0" applyBorder="1">
      <alignment vertical="center"/>
    </xf>
    <xf numFmtId="0" fontId="0" fillId="4" borderId="34" xfId="0" applyFill="1" applyBorder="1">
      <alignment vertical="center"/>
    </xf>
    <xf numFmtId="0" fontId="0" fillId="5" borderId="34" xfId="0" applyFill="1" applyBorder="1">
      <alignment vertical="center"/>
    </xf>
    <xf numFmtId="0" fontId="0" fillId="6" borderId="34" xfId="0" applyFill="1" applyBorder="1">
      <alignment vertical="center"/>
    </xf>
    <xf numFmtId="0" fontId="0" fillId="7" borderId="34" xfId="0" applyFill="1" applyBorder="1">
      <alignment vertical="center"/>
    </xf>
    <xf numFmtId="0" fontId="0" fillId="8" borderId="34" xfId="0" applyFill="1" applyBorder="1">
      <alignment vertical="center"/>
    </xf>
    <xf numFmtId="0" fontId="0" fillId="10" borderId="35" xfId="0" applyFill="1" applyBorder="1">
      <alignment vertical="center"/>
    </xf>
    <xf numFmtId="0" fontId="0" fillId="0" borderId="36" xfId="0" applyBorder="1">
      <alignment vertical="center"/>
    </xf>
    <xf numFmtId="0" fontId="0" fillId="11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2" borderId="33" xfId="0" applyFill="1" applyBorder="1">
      <alignment vertical="center"/>
    </xf>
    <xf numFmtId="0" fontId="0" fillId="3" borderId="37" xfId="0" applyFill="1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14" fontId="0" fillId="0" borderId="15" xfId="0" applyNumberFormat="1" applyBorder="1">
      <alignment vertical="center"/>
    </xf>
    <xf numFmtId="0" fontId="0" fillId="3" borderId="34" xfId="0" applyFill="1" applyBorder="1">
      <alignment vertical="center"/>
    </xf>
    <xf numFmtId="14" fontId="0" fillId="0" borderId="26" xfId="0" applyNumberFormat="1" applyBorder="1">
      <alignment vertical="center"/>
    </xf>
    <xf numFmtId="14" fontId="0" fillId="0" borderId="4" xfId="0" applyNumberFormat="1" applyBorder="1">
      <alignment vertical="center"/>
    </xf>
    <xf numFmtId="0" fontId="0" fillId="14" borderId="19" xfId="0" applyFill="1" applyBorder="1">
      <alignment vertical="center"/>
    </xf>
    <xf numFmtId="0" fontId="0" fillId="14" borderId="20" xfId="0" applyFill="1" applyBorder="1">
      <alignment vertical="center"/>
    </xf>
    <xf numFmtId="0" fontId="0" fillId="14" borderId="29" xfId="0" applyFill="1" applyBorder="1">
      <alignment vertical="center"/>
    </xf>
    <xf numFmtId="14" fontId="0" fillId="0" borderId="24" xfId="0" applyNumberFormat="1" applyBorder="1">
      <alignment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9" fontId="0" fillId="11" borderId="3" xfId="0" applyNumberFormat="1" applyFill="1" applyBorder="1">
      <alignment vertical="center"/>
    </xf>
    <xf numFmtId="9" fontId="0" fillId="11" borderId="18" xfId="0" applyNumberFormat="1" applyFill="1" applyBorder="1">
      <alignment vertical="center"/>
    </xf>
    <xf numFmtId="0" fontId="0" fillId="10" borderId="13" xfId="0" applyFill="1" applyBorder="1">
      <alignment vertical="center"/>
    </xf>
    <xf numFmtId="0" fontId="0" fillId="10" borderId="14" xfId="0" applyFill="1" applyBorder="1">
      <alignment vertical="center"/>
    </xf>
    <xf numFmtId="9" fontId="0" fillId="0" borderId="3" xfId="0" applyNumberFormat="1" applyBorder="1">
      <alignment vertical="center"/>
    </xf>
    <xf numFmtId="9" fontId="0" fillId="0" borderId="18" xfId="0" applyNumberFormat="1" applyBorder="1">
      <alignment vertical="center"/>
    </xf>
    <xf numFmtId="9" fontId="0" fillId="0" borderId="1" xfId="0" applyNumberFormat="1" applyBorder="1">
      <alignment vertical="center"/>
    </xf>
    <xf numFmtId="9" fontId="0" fillId="0" borderId="5" xfId="0" applyNumberFormat="1" applyBorder="1">
      <alignment vertical="center"/>
    </xf>
    <xf numFmtId="9" fontId="0" fillId="0" borderId="7" xfId="0" applyNumberFormat="1" applyBorder="1">
      <alignment vertical="center"/>
    </xf>
    <xf numFmtId="9" fontId="0" fillId="0" borderId="8" xfId="0" applyNumberFormat="1" applyBorder="1">
      <alignment vertical="center"/>
    </xf>
    <xf numFmtId="0" fontId="0" fillId="14" borderId="26" xfId="0" applyFill="1" applyBorder="1" applyAlignment="1">
      <alignment horizontal="center" vertical="center"/>
    </xf>
    <xf numFmtId="0" fontId="0" fillId="14" borderId="27" xfId="0" applyFill="1" applyBorder="1" applyAlignment="1">
      <alignment horizontal="center" vertical="center"/>
    </xf>
    <xf numFmtId="0" fontId="0" fillId="14" borderId="28" xfId="0" applyFill="1" applyBorder="1" applyAlignment="1">
      <alignment horizontal="center" vertical="center"/>
    </xf>
    <xf numFmtId="0" fontId="2" fillId="12" borderId="9" xfId="0" applyFont="1" applyFill="1" applyBorder="1" applyAlignment="1">
      <alignment horizontal="center" vertical="center"/>
    </xf>
    <xf numFmtId="0" fontId="5" fillId="12" borderId="10" xfId="0" applyFont="1" applyFill="1" applyBorder="1" applyAlignment="1">
      <alignment horizontal="center" vertical="center"/>
    </xf>
    <xf numFmtId="0" fontId="5" fillId="12" borderId="11" xfId="0" applyFont="1" applyFill="1" applyBorder="1" applyAlignment="1">
      <alignment horizontal="center" vertical="center"/>
    </xf>
    <xf numFmtId="9" fontId="0" fillId="11" borderId="20" xfId="0" applyNumberFormat="1" applyFill="1" applyBorder="1">
      <alignment vertical="center"/>
    </xf>
    <xf numFmtId="9" fontId="0" fillId="11" borderId="29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86658-903D-42FC-92C5-9174913B56B9}">
  <sheetPr codeName="Sheet1"/>
  <dimension ref="A1:A8"/>
  <sheetViews>
    <sheetView workbookViewId="0">
      <selection activeCell="C2" sqref="C2"/>
    </sheetView>
  </sheetViews>
  <sheetFormatPr defaultRowHeight="17.75" x14ac:dyDescent="0.5"/>
  <cols>
    <col min="1" max="1" width="128.453125" customWidth="1"/>
  </cols>
  <sheetData>
    <row r="1" spans="1:1" ht="18.3" thickBot="1" x14ac:dyDescent="0.55000000000000004">
      <c r="A1" s="43"/>
    </row>
    <row r="2" spans="1:1" x14ac:dyDescent="0.5">
      <c r="A2" s="32" t="s">
        <v>53</v>
      </c>
    </row>
    <row r="3" spans="1:1" x14ac:dyDescent="0.5">
      <c r="A3" s="33" t="s">
        <v>44</v>
      </c>
    </row>
    <row r="4" spans="1:1" ht="52.8" customHeight="1" x14ac:dyDescent="0.5">
      <c r="A4" s="34" t="s">
        <v>50</v>
      </c>
    </row>
    <row r="5" spans="1:1" x14ac:dyDescent="0.5">
      <c r="A5" s="35" t="s">
        <v>45</v>
      </c>
    </row>
    <row r="6" spans="1:1" ht="36" customHeight="1" x14ac:dyDescent="0.5">
      <c r="A6" s="34" t="s">
        <v>47</v>
      </c>
    </row>
    <row r="7" spans="1:1" x14ac:dyDescent="0.5">
      <c r="A7" s="33" t="s">
        <v>46</v>
      </c>
    </row>
    <row r="8" spans="1:1" ht="18.3" thickBot="1" x14ac:dyDescent="0.55000000000000004">
      <c r="A8" s="36" t="s">
        <v>49</v>
      </c>
    </row>
  </sheetData>
  <sheetProtection sheet="1" objects="1" scenarios="1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BC563-D891-416D-9274-C0F856883C0D}">
  <sheetPr codeName="Sheet3">
    <tabColor rgb="FFFFFF00"/>
  </sheetPr>
  <dimension ref="A1:R121"/>
  <sheetViews>
    <sheetView tabSelected="1" zoomScale="76" zoomScaleNormal="76" workbookViewId="0">
      <pane ySplit="1" topLeftCell="A52" activePane="bottomLeft" state="frozen"/>
      <selection pane="bottomLeft" activeCell="K51" sqref="K51"/>
    </sheetView>
  </sheetViews>
  <sheetFormatPr defaultRowHeight="17.75" x14ac:dyDescent="0.5"/>
  <cols>
    <col min="1" max="1" width="13.08984375" customWidth="1"/>
    <col min="2" max="2" width="30.6328125" customWidth="1"/>
    <col min="3" max="3" width="16.36328125" customWidth="1"/>
    <col min="4" max="4" width="19.453125" customWidth="1"/>
    <col min="5" max="5" width="11.08984375" customWidth="1"/>
    <col min="6" max="6" width="43.81640625" customWidth="1"/>
    <col min="7" max="7" width="48.26953125" customWidth="1"/>
    <col min="8" max="8" width="15.1796875" customWidth="1"/>
    <col min="10" max="10" width="23" customWidth="1"/>
    <col min="11" max="11" width="17.90625" customWidth="1"/>
    <col min="12" max="12" width="20.1796875" customWidth="1"/>
    <col min="13" max="13" width="12.26953125" customWidth="1"/>
    <col min="15" max="15" width="7.26953125" customWidth="1"/>
    <col min="16" max="16" width="6.7265625" customWidth="1"/>
    <col min="17" max="17" width="7.26953125" customWidth="1"/>
    <col min="18" max="18" width="13.08984375" customWidth="1"/>
  </cols>
  <sheetData>
    <row r="1" spans="1:18" ht="18.3" thickBot="1" x14ac:dyDescent="0.55000000000000004">
      <c r="A1" s="46" t="s">
        <v>0</v>
      </c>
      <c r="B1" s="47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7">
        <v>45301</v>
      </c>
      <c r="B2" s="3" t="s">
        <v>68</v>
      </c>
      <c r="C2" s="3" t="s">
        <v>98</v>
      </c>
      <c r="D2" s="3" t="s">
        <v>177</v>
      </c>
      <c r="E2" s="3" t="s">
        <v>51</v>
      </c>
      <c r="F2" s="3" t="s">
        <v>26</v>
      </c>
      <c r="G2" s="3"/>
      <c r="H2" s="13" t="s">
        <v>8</v>
      </c>
      <c r="J2" s="61" t="s">
        <v>33</v>
      </c>
      <c r="K2" s="62"/>
      <c r="L2" s="63"/>
    </row>
    <row r="3" spans="1:18" x14ac:dyDescent="0.5">
      <c r="A3" s="50">
        <v>45307</v>
      </c>
      <c r="B3" s="1" t="s">
        <v>69</v>
      </c>
      <c r="C3" s="1" t="s">
        <v>99</v>
      </c>
      <c r="D3" s="1" t="s">
        <v>178</v>
      </c>
      <c r="E3" s="1" t="s">
        <v>52</v>
      </c>
      <c r="F3" s="1"/>
      <c r="G3" s="3"/>
      <c r="H3" s="4" t="s">
        <v>7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0">
        <v>45310</v>
      </c>
      <c r="B4" s="1" t="s">
        <v>70</v>
      </c>
      <c r="C4" s="1" t="s">
        <v>100</v>
      </c>
      <c r="D4" s="1" t="s">
        <v>179</v>
      </c>
      <c r="E4" s="1" t="s">
        <v>51</v>
      </c>
      <c r="F4" s="1" t="s">
        <v>30</v>
      </c>
      <c r="G4" s="3"/>
      <c r="H4" s="4" t="s">
        <v>6</v>
      </c>
      <c r="J4" s="6">
        <f>COUNTA(A2:A120)</f>
        <v>79</v>
      </c>
      <c r="K4" s="7">
        <f>COUNTIF(E2:E120,"*×*")</f>
        <v>10</v>
      </c>
      <c r="L4" s="26">
        <f>IF(J4&lt;&gt;0, K4/J4, "-")</f>
        <v>0.12658227848101267</v>
      </c>
    </row>
    <row r="5" spans="1:18" ht="18.3" thickBot="1" x14ac:dyDescent="0.55000000000000004">
      <c r="A5" s="50">
        <v>45315</v>
      </c>
      <c r="B5" s="1" t="s">
        <v>71</v>
      </c>
      <c r="C5" s="1" t="s">
        <v>101</v>
      </c>
      <c r="D5" s="1" t="s">
        <v>180</v>
      </c>
      <c r="E5" s="1" t="s">
        <v>52</v>
      </c>
      <c r="F5" s="1"/>
      <c r="G5" s="3"/>
      <c r="H5" s="4" t="s">
        <v>6</v>
      </c>
    </row>
    <row r="6" spans="1:18" x14ac:dyDescent="0.5">
      <c r="A6" s="50">
        <v>45320</v>
      </c>
      <c r="B6" s="1" t="s">
        <v>70</v>
      </c>
      <c r="C6" s="1" t="s">
        <v>102</v>
      </c>
      <c r="D6" s="1" t="s">
        <v>181</v>
      </c>
      <c r="E6" s="1" t="s">
        <v>51</v>
      </c>
      <c r="F6" s="1" t="s">
        <v>26</v>
      </c>
      <c r="G6" s="3"/>
      <c r="H6" s="4" t="s">
        <v>6</v>
      </c>
      <c r="J6" s="58" t="s">
        <v>41</v>
      </c>
      <c r="K6" s="59"/>
      <c r="L6" s="59"/>
      <c r="M6" s="59"/>
      <c r="N6" s="60"/>
      <c r="P6" s="45" t="s">
        <v>60</v>
      </c>
      <c r="Q6" s="45"/>
      <c r="R6" s="45"/>
    </row>
    <row r="7" spans="1:18" ht="18.3" thickBot="1" x14ac:dyDescent="0.55000000000000004">
      <c r="A7" s="50">
        <v>45321</v>
      </c>
      <c r="B7" s="1" t="s">
        <v>72</v>
      </c>
      <c r="C7" s="1" t="s">
        <v>103</v>
      </c>
      <c r="D7" s="1" t="s">
        <v>182</v>
      </c>
      <c r="E7" s="1" t="s">
        <v>52</v>
      </c>
      <c r="F7" s="1"/>
      <c r="G7" s="3"/>
      <c r="H7" s="4" t="s">
        <v>7</v>
      </c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0">
        <v>45324</v>
      </c>
      <c r="B8" s="1" t="s">
        <v>73</v>
      </c>
      <c r="C8" s="1" t="s">
        <v>104</v>
      </c>
      <c r="D8" s="1" t="s">
        <v>183</v>
      </c>
      <c r="E8" s="1" t="s">
        <v>52</v>
      </c>
      <c r="F8" s="1"/>
      <c r="G8" s="3"/>
      <c r="H8" s="4" t="s">
        <v>7</v>
      </c>
      <c r="J8" s="12" t="s">
        <v>11</v>
      </c>
      <c r="K8" s="3">
        <f>COUNTIFS($A$1:$A$100,"&gt;=2024/1/1",$A$1:$A$100,"&lt;=2024/1/31")</f>
        <v>6</v>
      </c>
      <c r="L8" s="3">
        <f>COUNTIFS($A$1:$A$100,"&gt;=2024/1/1",$A$1:$A$100,"&lt;=2024/1/31",$E$1:$E$100,"×")</f>
        <v>3</v>
      </c>
      <c r="M8" s="71">
        <f>IFERROR(L8/K8, "-")</f>
        <v>0.5</v>
      </c>
      <c r="N8" s="72"/>
      <c r="P8" s="1" t="s">
        <v>9</v>
      </c>
      <c r="Q8" s="1" t="s">
        <v>55</v>
      </c>
      <c r="R8" s="1"/>
    </row>
    <row r="9" spans="1:18" x14ac:dyDescent="0.5">
      <c r="A9" s="50">
        <v>45342</v>
      </c>
      <c r="B9" s="1" t="s">
        <v>74</v>
      </c>
      <c r="C9" s="1" t="s">
        <v>105</v>
      </c>
      <c r="D9" s="1" t="s">
        <v>184</v>
      </c>
      <c r="E9" s="1" t="s">
        <v>52</v>
      </c>
      <c r="F9" s="1"/>
      <c r="G9" s="3"/>
      <c r="H9" s="4" t="s">
        <v>7</v>
      </c>
      <c r="J9" s="5" t="s">
        <v>12</v>
      </c>
      <c r="K9" s="3">
        <f>COUNTIFS($A$1:$A$100,"&gt;=2024/2/1",$A$1:$A$100,"&lt;=2024/2/29")</f>
        <v>3</v>
      </c>
      <c r="L9" s="1">
        <f>COUNTIFS($A$1:$A$100,"&gt;=2024/2/1",$A$1:$A$100,"&lt;=2024/2/28",$E$1:$E$100,"×")</f>
        <v>0</v>
      </c>
      <c r="M9" s="73">
        <f t="shared" ref="M9:M19" si="0">IFERROR(L9/K9, "-")</f>
        <v>0</v>
      </c>
      <c r="N9" s="74"/>
      <c r="P9" s="1" t="s">
        <v>48</v>
      </c>
      <c r="Q9" s="1" t="s">
        <v>56</v>
      </c>
      <c r="R9" s="1"/>
    </row>
    <row r="10" spans="1:18" x14ac:dyDescent="0.5">
      <c r="A10" s="50">
        <v>45349</v>
      </c>
      <c r="B10" s="1" t="s">
        <v>75</v>
      </c>
      <c r="C10" s="1" t="s">
        <v>106</v>
      </c>
      <c r="D10" s="1" t="s">
        <v>185</v>
      </c>
      <c r="E10" s="1" t="s">
        <v>52</v>
      </c>
      <c r="F10" s="1"/>
      <c r="G10" s="3"/>
      <c r="H10" s="4" t="s">
        <v>6</v>
      </c>
      <c r="J10" s="5" t="s">
        <v>13</v>
      </c>
      <c r="K10" s="3">
        <f>COUNTIFS($A$1:$A$100,"&gt;=2024/3/1",$A$1:$A$100,"&lt;=2024/3/31")</f>
        <v>7</v>
      </c>
      <c r="L10" s="1">
        <f>COUNTIFS($A$1:$A$100,"&gt;=2024/3/1",$A$1:$A$100,"&lt;=2024/3/31",$E$1:$E$100,"×")</f>
        <v>1</v>
      </c>
      <c r="M10" s="73">
        <f t="shared" si="0"/>
        <v>0.14285714285714285</v>
      </c>
      <c r="N10" s="74"/>
    </row>
    <row r="11" spans="1:18" x14ac:dyDescent="0.5">
      <c r="A11" s="50">
        <v>45352</v>
      </c>
      <c r="B11" s="1" t="s">
        <v>70</v>
      </c>
      <c r="C11" s="1" t="s">
        <v>107</v>
      </c>
      <c r="D11" s="1" t="s">
        <v>186</v>
      </c>
      <c r="E11" s="1" t="s">
        <v>52</v>
      </c>
      <c r="F11" s="1"/>
      <c r="G11" s="3"/>
      <c r="H11" s="4" t="s">
        <v>6</v>
      </c>
      <c r="J11" s="5" t="s">
        <v>14</v>
      </c>
      <c r="K11" s="3">
        <f>COUNTIFS($A$1:$A$100,"&gt;=2024/4/1",$A$1:$A$100,"&lt;=2024/4/30")</f>
        <v>10</v>
      </c>
      <c r="L11" s="1">
        <f>COUNTIFS($A$1:$A$100,"&gt;=2024/4/1",$A$1:$A$100,"&lt;=2024/4/30",$E$1:$E$100,"×")</f>
        <v>0</v>
      </c>
      <c r="M11" s="73">
        <f t="shared" si="0"/>
        <v>0</v>
      </c>
      <c r="N11" s="74"/>
    </row>
    <row r="12" spans="1:18" ht="16.8" customHeight="1" x14ac:dyDescent="0.5">
      <c r="A12" s="57">
        <v>45356</v>
      </c>
      <c r="B12" s="1" t="s">
        <v>76</v>
      </c>
      <c r="C12" s="1" t="s">
        <v>108</v>
      </c>
      <c r="D12" s="1" t="s">
        <v>187</v>
      </c>
      <c r="E12" s="1" t="s">
        <v>52</v>
      </c>
      <c r="F12" s="1"/>
      <c r="G12" s="3"/>
      <c r="H12" s="4" t="s">
        <v>6</v>
      </c>
      <c r="J12" s="5" t="s">
        <v>15</v>
      </c>
      <c r="K12" s="1">
        <f>COUNTIFS($A$1:$A$100,"&gt;=2024/5/1",$A$1:$A$100,"&lt;=2024/5/31")</f>
        <v>7</v>
      </c>
      <c r="L12" s="1">
        <f>COUNTIFS($A$1:$A$100,"&gt;=2024/5/1",$A$1:$A$100,"&lt;=2024/5/31",$E$1:$E$100,"×")</f>
        <v>2</v>
      </c>
      <c r="M12" s="73">
        <f t="shared" si="0"/>
        <v>0.2857142857142857</v>
      </c>
      <c r="N12" s="74"/>
    </row>
    <row r="13" spans="1:18" ht="17.5" customHeight="1" x14ac:dyDescent="0.5">
      <c r="A13" s="50">
        <v>45357</v>
      </c>
      <c r="B13" s="1" t="s">
        <v>77</v>
      </c>
      <c r="C13" s="1" t="s">
        <v>109</v>
      </c>
      <c r="D13" s="1" t="s">
        <v>188</v>
      </c>
      <c r="E13" s="1" t="s">
        <v>51</v>
      </c>
      <c r="F13" s="1" t="s">
        <v>27</v>
      </c>
      <c r="G13" s="3"/>
      <c r="H13" s="4" t="s">
        <v>7</v>
      </c>
      <c r="J13" s="5" t="s">
        <v>16</v>
      </c>
      <c r="K13" s="1">
        <f>COUNTIFS($A$1:$A$100,"&gt;=2024/6/1",$A$1:$A$100,"&lt;=2024/6/30")</f>
        <v>4</v>
      </c>
      <c r="L13" s="1">
        <f>COUNTIFS($A$1:$A$100,"&gt;=2024/6/1",$A$1:$A$100,"&lt;=2024/6/31",$E$1:$E$100,"×")</f>
        <v>0</v>
      </c>
      <c r="M13" s="73">
        <f t="shared" si="0"/>
        <v>0</v>
      </c>
      <c r="N13" s="74"/>
    </row>
    <row r="14" spans="1:18" x14ac:dyDescent="0.5">
      <c r="A14" s="50">
        <v>45360</v>
      </c>
      <c r="B14" s="1" t="s">
        <v>77</v>
      </c>
      <c r="C14" s="1" t="s">
        <v>110</v>
      </c>
      <c r="D14" s="1" t="s">
        <v>189</v>
      </c>
      <c r="E14" s="1" t="s">
        <v>52</v>
      </c>
      <c r="F14" s="1"/>
      <c r="G14" s="3"/>
      <c r="H14" s="4" t="s">
        <v>6</v>
      </c>
      <c r="J14" s="5" t="s">
        <v>17</v>
      </c>
      <c r="K14" s="1">
        <f>COUNTIFS($A$1:$A$100,"&gt;=2024/7/1",$A$1:$A$100,"&lt;=2024/7/31")</f>
        <v>10</v>
      </c>
      <c r="L14" s="1">
        <f>COUNTIFS($A$1:$A$100,"&gt;=2024/7/1",$A$1:$A$100,"&lt;=2024/7/31",$E$1:$E$100,"×")</f>
        <v>1</v>
      </c>
      <c r="M14" s="73">
        <f t="shared" si="0"/>
        <v>0.1</v>
      </c>
      <c r="N14" s="74"/>
    </row>
    <row r="15" spans="1:18" x14ac:dyDescent="0.5">
      <c r="A15" s="50">
        <v>45365</v>
      </c>
      <c r="B15" s="1" t="s">
        <v>78</v>
      </c>
      <c r="C15" s="1" t="s">
        <v>111</v>
      </c>
      <c r="D15" s="1" t="s">
        <v>190</v>
      </c>
      <c r="E15" s="1" t="s">
        <v>52</v>
      </c>
      <c r="F15" s="1"/>
      <c r="G15" s="3"/>
      <c r="H15" s="4" t="s">
        <v>7</v>
      </c>
      <c r="J15" s="5" t="s">
        <v>18</v>
      </c>
      <c r="K15" s="1">
        <f>COUNTIFS($A$1:$A$100,"&gt;=2024/8/1",$A$1:$A$100,"&lt;=2024/8/31")</f>
        <v>6</v>
      </c>
      <c r="L15" s="1">
        <f>COUNTIFS($A$1:$A$100,"&gt;=2024/8/1",$A$1:$A$100,"&lt;=2024/8/31",$E$1:$E$100,"×")</f>
        <v>1</v>
      </c>
      <c r="M15" s="73">
        <f t="shared" si="0"/>
        <v>0.16666666666666666</v>
      </c>
      <c r="N15" s="74"/>
    </row>
    <row r="16" spans="1:18" x14ac:dyDescent="0.5">
      <c r="A16" s="50">
        <v>45369</v>
      </c>
      <c r="B16" s="1" t="s">
        <v>79</v>
      </c>
      <c r="C16" s="1" t="s">
        <v>112</v>
      </c>
      <c r="D16" s="1" t="s">
        <v>191</v>
      </c>
      <c r="E16" s="1" t="s">
        <v>52</v>
      </c>
      <c r="F16" s="1"/>
      <c r="G16" s="3"/>
      <c r="H16" s="4" t="s">
        <v>6</v>
      </c>
      <c r="J16" s="5" t="s">
        <v>19</v>
      </c>
      <c r="K16" s="1">
        <f>COUNTIFS($A$1:$A$100,"&gt;=2024/9/1",$A$1:$A$100,"&lt;=2024/9/30")</f>
        <v>5</v>
      </c>
      <c r="L16" s="1">
        <f>COUNTIFS($A$1:$A$100,"&gt;=2024/9/1",$A$1:$A$100,"&lt;=2024/9/30",$E$1:$E$100,"×")</f>
        <v>1</v>
      </c>
      <c r="M16" s="73">
        <f t="shared" si="0"/>
        <v>0.2</v>
      </c>
      <c r="N16" s="74"/>
    </row>
    <row r="17" spans="1:14" x14ac:dyDescent="0.5">
      <c r="A17" s="50">
        <v>45373</v>
      </c>
      <c r="B17" s="1" t="s">
        <v>80</v>
      </c>
      <c r="C17" s="1" t="s">
        <v>113</v>
      </c>
      <c r="D17" s="1" t="s">
        <v>192</v>
      </c>
      <c r="E17" s="1" t="s">
        <v>52</v>
      </c>
      <c r="F17" s="1"/>
      <c r="G17" s="3"/>
      <c r="H17" s="4" t="s">
        <v>7</v>
      </c>
      <c r="J17" s="5" t="s">
        <v>20</v>
      </c>
      <c r="K17" s="1">
        <f>COUNTIFS($A$1:$A$100,"&gt;=2024/10/1",$A$1:$A$100,"&lt;=2024/10/31")</f>
        <v>8</v>
      </c>
      <c r="L17" s="1">
        <f>COUNTIFS($A$1:$A$100,"&gt;=2024/9/1",$A$1:$A$100,"&lt;=2024/9/30",$E$1:$E$100,"×")</f>
        <v>1</v>
      </c>
      <c r="M17" s="73">
        <f t="shared" si="0"/>
        <v>0.125</v>
      </c>
      <c r="N17" s="74"/>
    </row>
    <row r="18" spans="1:14" ht="16.8" customHeight="1" x14ac:dyDescent="0.5">
      <c r="A18" s="50">
        <v>45383</v>
      </c>
      <c r="B18" s="1" t="s">
        <v>81</v>
      </c>
      <c r="C18" s="1" t="s">
        <v>114</v>
      </c>
      <c r="D18" s="1" t="s">
        <v>193</v>
      </c>
      <c r="E18" s="1" t="s">
        <v>52</v>
      </c>
      <c r="F18" s="1"/>
      <c r="G18" s="3"/>
      <c r="H18" s="4" t="s">
        <v>7</v>
      </c>
      <c r="J18" s="5" t="s">
        <v>21</v>
      </c>
      <c r="K18" s="1">
        <f>COUNTIFS($A$1:$A$100,"&gt;=2024/11/1",$A$1:$A$100,"&lt;=2024/11/30")</f>
        <v>4</v>
      </c>
      <c r="L18" s="1">
        <f>COUNTIFS($A$1:$A$100,"&gt;=2024/11/1",$A$1:$A$100,"&lt;=2024/11/30",$E$1:$E$100,"×")</f>
        <v>1</v>
      </c>
      <c r="M18" s="73">
        <f t="shared" si="0"/>
        <v>0.25</v>
      </c>
      <c r="N18" s="74"/>
    </row>
    <row r="19" spans="1:14" ht="18.3" thickBot="1" x14ac:dyDescent="0.55000000000000004">
      <c r="A19" s="50">
        <v>45385</v>
      </c>
      <c r="B19" s="1" t="s">
        <v>79</v>
      </c>
      <c r="C19" s="1" t="s">
        <v>115</v>
      </c>
      <c r="D19" s="1" t="s">
        <v>194</v>
      </c>
      <c r="E19" s="1" t="s">
        <v>52</v>
      </c>
      <c r="F19" s="1"/>
      <c r="G19" s="3"/>
      <c r="H19" s="4" t="s">
        <v>6</v>
      </c>
      <c r="J19" s="6" t="s">
        <v>22</v>
      </c>
      <c r="K19" s="7">
        <f>COUNTIFS($A$1:$A$100,"&gt;=2024/12/1",$A$1:$A$100,"&lt;=2024/12/31")</f>
        <v>9</v>
      </c>
      <c r="L19" s="7">
        <f>COUNTIFS($A$1:$A$100,"&gt;=2024/12/1",$A$1:$A$100,"&lt;=2024/12/31",$E$1:$E$100,"×")</f>
        <v>0</v>
      </c>
      <c r="M19" s="75">
        <f t="shared" si="0"/>
        <v>0</v>
      </c>
      <c r="N19" s="76"/>
    </row>
    <row r="20" spans="1:14" ht="18" customHeight="1" thickBot="1" x14ac:dyDescent="0.55000000000000004">
      <c r="A20" s="50">
        <v>45387</v>
      </c>
      <c r="B20" s="1" t="s">
        <v>82</v>
      </c>
      <c r="C20" s="1" t="s">
        <v>116</v>
      </c>
      <c r="D20" s="1" t="s">
        <v>195</v>
      </c>
      <c r="E20" s="1" t="s">
        <v>52</v>
      </c>
      <c r="F20" s="1"/>
      <c r="G20" s="3"/>
      <c r="H20" s="4" t="s">
        <v>7</v>
      </c>
    </row>
    <row r="21" spans="1:14" ht="16.25" customHeight="1" x14ac:dyDescent="0.5">
      <c r="A21" s="50">
        <v>45394</v>
      </c>
      <c r="B21" s="1" t="s">
        <v>83</v>
      </c>
      <c r="C21" s="1" t="s">
        <v>117</v>
      </c>
      <c r="D21" s="1" t="s">
        <v>196</v>
      </c>
      <c r="E21" s="1" t="s">
        <v>52</v>
      </c>
      <c r="F21" s="1"/>
      <c r="G21" s="3"/>
      <c r="H21" s="4" t="s">
        <v>7</v>
      </c>
      <c r="J21" s="64" t="s">
        <v>34</v>
      </c>
      <c r="K21" s="65"/>
      <c r="L21" s="65"/>
      <c r="M21" s="65"/>
      <c r="N21" s="66"/>
    </row>
    <row r="22" spans="1:14" ht="17.5" customHeight="1" thickBot="1" x14ac:dyDescent="0.55000000000000004">
      <c r="A22" s="50">
        <v>45394</v>
      </c>
      <c r="B22" s="1" t="s">
        <v>70</v>
      </c>
      <c r="C22" s="1" t="s">
        <v>118</v>
      </c>
      <c r="D22" s="1" t="s">
        <v>197</v>
      </c>
      <c r="E22" s="1" t="s">
        <v>52</v>
      </c>
      <c r="F22" s="1"/>
      <c r="G22" s="3"/>
      <c r="H22" s="4" t="s">
        <v>7</v>
      </c>
      <c r="J22" s="20" t="s">
        <v>25</v>
      </c>
      <c r="K22" s="21"/>
      <c r="L22" s="22" t="s">
        <v>31</v>
      </c>
      <c r="M22" s="69" t="s">
        <v>54</v>
      </c>
      <c r="N22" s="70"/>
    </row>
    <row r="23" spans="1:14" ht="16.8" customHeight="1" x14ac:dyDescent="0.5">
      <c r="A23" s="50">
        <v>45394</v>
      </c>
      <c r="B23" s="1" t="s">
        <v>70</v>
      </c>
      <c r="C23" s="1" t="s">
        <v>119</v>
      </c>
      <c r="D23" s="1" t="s">
        <v>198</v>
      </c>
      <c r="E23" s="1" t="s">
        <v>52</v>
      </c>
      <c r="F23" s="1"/>
      <c r="G23" s="3"/>
      <c r="H23" s="4" t="s">
        <v>6</v>
      </c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50">
        <v>45397</v>
      </c>
      <c r="B24" s="1" t="s">
        <v>84</v>
      </c>
      <c r="C24" s="1" t="s">
        <v>120</v>
      </c>
      <c r="D24" s="1" t="s">
        <v>199</v>
      </c>
      <c r="E24" s="1" t="s">
        <v>52</v>
      </c>
      <c r="F24" s="1"/>
      <c r="G24" s="3"/>
      <c r="H24" s="4" t="s">
        <v>7</v>
      </c>
      <c r="J24" s="9" t="s">
        <v>30</v>
      </c>
      <c r="K24" s="2"/>
      <c r="L24" s="1">
        <f>COUNTIF(F:F, "介入に嫌悪・不安感（心理的ハードル）")</f>
        <v>1</v>
      </c>
      <c r="M24" s="67">
        <f t="shared" ref="M24:M27" si="1">IFERROR(L24/K$4, "-")</f>
        <v>0.1</v>
      </c>
      <c r="N24" s="68"/>
    </row>
    <row r="25" spans="1:14" x14ac:dyDescent="0.5">
      <c r="A25" s="50">
        <v>45404</v>
      </c>
      <c r="B25" s="1" t="s">
        <v>70</v>
      </c>
      <c r="C25" s="1" t="s">
        <v>121</v>
      </c>
      <c r="D25" s="1" t="s">
        <v>200</v>
      </c>
      <c r="E25" s="1" t="s">
        <v>52</v>
      </c>
      <c r="F25" s="1"/>
      <c r="G25" s="3"/>
      <c r="H25" s="4" t="s">
        <v>7</v>
      </c>
      <c r="J25" s="9" t="s">
        <v>26</v>
      </c>
      <c r="K25" s="2"/>
      <c r="L25" s="1">
        <f>COUNTIF(F:F, "入院・他施設への入居・ご逝去（不可抗力）")</f>
        <v>6</v>
      </c>
      <c r="M25" s="67">
        <f t="shared" si="1"/>
        <v>0.6</v>
      </c>
      <c r="N25" s="68"/>
    </row>
    <row r="26" spans="1:14" x14ac:dyDescent="0.5">
      <c r="A26" s="50">
        <v>45407</v>
      </c>
      <c r="B26" s="1" t="s">
        <v>70</v>
      </c>
      <c r="C26" s="1" t="s">
        <v>122</v>
      </c>
      <c r="D26" s="1" t="s">
        <v>201</v>
      </c>
      <c r="E26" s="1" t="s">
        <v>52</v>
      </c>
      <c r="F26" s="1"/>
      <c r="G26" s="3"/>
      <c r="H26" s="4" t="s">
        <v>7</v>
      </c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50">
        <v>45408</v>
      </c>
      <c r="B27" s="1" t="s">
        <v>70</v>
      </c>
      <c r="C27" s="1" t="s">
        <v>123</v>
      </c>
      <c r="D27" s="1" t="s">
        <v>202</v>
      </c>
      <c r="E27" s="1" t="s">
        <v>52</v>
      </c>
      <c r="F27" s="1"/>
      <c r="G27" s="3"/>
      <c r="H27" s="4" t="s">
        <v>6</v>
      </c>
      <c r="J27" s="10" t="s">
        <v>27</v>
      </c>
      <c r="K27" s="11"/>
      <c r="L27" s="7">
        <f>COUNTIF(F:F, "その他")</f>
        <v>2</v>
      </c>
      <c r="M27" s="83">
        <f t="shared" si="1"/>
        <v>0.2</v>
      </c>
      <c r="N27" s="84"/>
    </row>
    <row r="28" spans="1:14" ht="16.25" customHeight="1" thickBot="1" x14ac:dyDescent="0.55000000000000004">
      <c r="A28" s="50">
        <v>45422</v>
      </c>
      <c r="B28" s="1" t="s">
        <v>85</v>
      </c>
      <c r="C28" s="1" t="s">
        <v>124</v>
      </c>
      <c r="D28" s="1" t="s">
        <v>203</v>
      </c>
      <c r="E28" s="1" t="s">
        <v>51</v>
      </c>
      <c r="F28" s="1" t="s">
        <v>27</v>
      </c>
      <c r="G28" s="3"/>
      <c r="H28" s="4" t="s">
        <v>6</v>
      </c>
    </row>
    <row r="29" spans="1:14" ht="18" customHeight="1" x14ac:dyDescent="0.5">
      <c r="A29" s="50">
        <v>45425</v>
      </c>
      <c r="B29" s="1" t="s">
        <v>70</v>
      </c>
      <c r="C29" s="1" t="s">
        <v>125</v>
      </c>
      <c r="D29" s="1" t="s">
        <v>204</v>
      </c>
      <c r="E29" s="1" t="s">
        <v>52</v>
      </c>
      <c r="F29" s="1"/>
      <c r="G29" s="3"/>
      <c r="H29" s="4" t="s">
        <v>6</v>
      </c>
      <c r="J29" s="80" t="s">
        <v>66</v>
      </c>
      <c r="K29" s="81"/>
      <c r="L29" s="82"/>
    </row>
    <row r="30" spans="1:14" ht="19.25" customHeight="1" thickBot="1" x14ac:dyDescent="0.55000000000000004">
      <c r="A30" s="50">
        <v>45427</v>
      </c>
      <c r="B30" s="1" t="s">
        <v>86</v>
      </c>
      <c r="C30" s="1" t="s">
        <v>126</v>
      </c>
      <c r="D30" s="1" t="s">
        <v>205</v>
      </c>
      <c r="E30" s="1" t="s">
        <v>52</v>
      </c>
      <c r="F30" s="1"/>
      <c r="G30" s="3"/>
      <c r="H30" s="4" t="s">
        <v>6</v>
      </c>
      <c r="J30" s="28" t="s">
        <v>35</v>
      </c>
      <c r="K30" s="29" t="s">
        <v>31</v>
      </c>
      <c r="L30" s="30" t="s">
        <v>43</v>
      </c>
    </row>
    <row r="31" spans="1:14" ht="17.5" customHeight="1" x14ac:dyDescent="0.5">
      <c r="A31" s="50">
        <v>45432</v>
      </c>
      <c r="B31" s="1" t="s">
        <v>78</v>
      </c>
      <c r="C31" s="1" t="s">
        <v>127</v>
      </c>
      <c r="D31" s="1" t="s">
        <v>206</v>
      </c>
      <c r="E31" s="1" t="s">
        <v>52</v>
      </c>
      <c r="F31" s="1"/>
      <c r="G31" s="3"/>
      <c r="H31" s="4" t="s">
        <v>7</v>
      </c>
      <c r="J31" s="12" t="s">
        <v>6</v>
      </c>
      <c r="K31" s="3">
        <f>COUNTIF(H:H, "医療")</f>
        <v>38</v>
      </c>
      <c r="L31" s="27">
        <f>IFERROR(K31/J$4, "-")</f>
        <v>0.48101265822784811</v>
      </c>
    </row>
    <row r="32" spans="1:14" ht="18.55" customHeight="1" x14ac:dyDescent="0.5">
      <c r="A32" s="50">
        <v>45433</v>
      </c>
      <c r="B32" s="1" t="s">
        <v>82</v>
      </c>
      <c r="C32" s="1" t="s">
        <v>128</v>
      </c>
      <c r="D32" s="1" t="s">
        <v>207</v>
      </c>
      <c r="E32" s="1" t="s">
        <v>51</v>
      </c>
      <c r="F32" s="1" t="s">
        <v>26</v>
      </c>
      <c r="G32" s="3"/>
      <c r="H32" s="4" t="s">
        <v>6</v>
      </c>
      <c r="J32" s="5" t="s">
        <v>7</v>
      </c>
      <c r="K32" s="1">
        <f>COUNTIF(H:H, "介護")</f>
        <v>40</v>
      </c>
      <c r="L32" s="27">
        <f>IFERROR(K32/J$4, "-")</f>
        <v>0.50632911392405067</v>
      </c>
    </row>
    <row r="33" spans="1:13" ht="18.55" customHeight="1" x14ac:dyDescent="0.5">
      <c r="A33" s="50">
        <v>45434</v>
      </c>
      <c r="B33" s="1" t="s">
        <v>87</v>
      </c>
      <c r="C33" s="1" t="s">
        <v>129</v>
      </c>
      <c r="D33" s="1" t="s">
        <v>208</v>
      </c>
      <c r="E33" s="1" t="s">
        <v>52</v>
      </c>
      <c r="F33" s="1"/>
      <c r="G33" s="3"/>
      <c r="H33" s="4" t="s">
        <v>7</v>
      </c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3" x14ac:dyDescent="0.5">
      <c r="A34" s="50">
        <v>45440</v>
      </c>
      <c r="B34" s="1" t="s">
        <v>70</v>
      </c>
      <c r="C34" s="1" t="s">
        <v>130</v>
      </c>
      <c r="D34" s="1" t="s">
        <v>209</v>
      </c>
      <c r="E34" s="1" t="s">
        <v>52</v>
      </c>
      <c r="F34" s="1"/>
      <c r="G34" s="3"/>
      <c r="H34" s="4" t="s">
        <v>7</v>
      </c>
      <c r="J34" s="5" t="s">
        <v>8</v>
      </c>
      <c r="K34" s="1">
        <f>COUNTIF(H:H, "不明")</f>
        <v>1</v>
      </c>
      <c r="L34" s="27">
        <f>IFERROR(K34/J$4, "-")</f>
        <v>1.2658227848101266E-2</v>
      </c>
    </row>
    <row r="35" spans="1:13" ht="19.25" customHeight="1" thickBot="1" x14ac:dyDescent="0.55000000000000004">
      <c r="A35" s="50">
        <v>45448</v>
      </c>
      <c r="B35" s="1" t="s">
        <v>82</v>
      </c>
      <c r="C35" s="1" t="s">
        <v>131</v>
      </c>
      <c r="D35" s="1" t="s">
        <v>210</v>
      </c>
      <c r="E35" s="1" t="s">
        <v>52</v>
      </c>
      <c r="F35" s="1"/>
      <c r="G35" s="3"/>
      <c r="H35" s="4" t="s">
        <v>6</v>
      </c>
      <c r="J35" s="6" t="s">
        <v>10</v>
      </c>
      <c r="K35" s="7">
        <f>COUNTIF(H:H, "自費")</f>
        <v>0</v>
      </c>
      <c r="L35" s="31">
        <f>IFERROR(K35/J$4, "-")</f>
        <v>0</v>
      </c>
    </row>
    <row r="36" spans="1:13" ht="19.25" customHeight="1" thickBot="1" x14ac:dyDescent="0.55000000000000004">
      <c r="A36" s="50">
        <v>45457</v>
      </c>
      <c r="B36" s="1" t="s">
        <v>87</v>
      </c>
      <c r="C36" s="1" t="s">
        <v>132</v>
      </c>
      <c r="D36" s="1" t="s">
        <v>211</v>
      </c>
      <c r="E36" s="1" t="s">
        <v>52</v>
      </c>
      <c r="F36" s="1"/>
      <c r="G36" s="3"/>
      <c r="H36" s="4" t="s">
        <v>7</v>
      </c>
    </row>
    <row r="37" spans="1:13" ht="20.45" customHeight="1" x14ac:dyDescent="0.5">
      <c r="A37" s="50">
        <v>45467</v>
      </c>
      <c r="B37" s="1" t="s">
        <v>88</v>
      </c>
      <c r="C37" s="1" t="s">
        <v>133</v>
      </c>
      <c r="D37" s="1" t="s">
        <v>212</v>
      </c>
      <c r="E37" s="1" t="s">
        <v>52</v>
      </c>
      <c r="F37" s="1"/>
      <c r="G37" s="3"/>
      <c r="H37" s="4" t="s">
        <v>6</v>
      </c>
      <c r="J37" s="77" t="s">
        <v>65</v>
      </c>
      <c r="K37" s="78"/>
      <c r="L37" s="78"/>
      <c r="M37" s="79"/>
    </row>
    <row r="38" spans="1:13" ht="19.75" customHeight="1" thickBot="1" x14ac:dyDescent="0.55000000000000004">
      <c r="A38" s="50">
        <v>45467</v>
      </c>
      <c r="B38" s="1" t="s">
        <v>87</v>
      </c>
      <c r="C38" s="1" t="s">
        <v>134</v>
      </c>
      <c r="D38" s="1" t="s">
        <v>213</v>
      </c>
      <c r="E38" s="1" t="s">
        <v>52</v>
      </c>
      <c r="F38" s="1"/>
      <c r="G38" s="3"/>
      <c r="H38" s="4" t="s">
        <v>6</v>
      </c>
      <c r="J38" s="54" t="s">
        <v>61</v>
      </c>
      <c r="K38" s="55" t="s">
        <v>62</v>
      </c>
      <c r="L38" s="55" t="s">
        <v>63</v>
      </c>
      <c r="M38" s="56" t="s">
        <v>64</v>
      </c>
    </row>
    <row r="39" spans="1:13" ht="19.25" customHeight="1" x14ac:dyDescent="0.5">
      <c r="A39" s="50">
        <v>45474</v>
      </c>
      <c r="B39" s="1" t="s">
        <v>89</v>
      </c>
      <c r="C39" s="1" t="s">
        <v>135</v>
      </c>
      <c r="D39" s="1" t="s">
        <v>214</v>
      </c>
      <c r="E39" s="1" t="s">
        <v>52</v>
      </c>
      <c r="F39" s="1"/>
      <c r="G39" s="3"/>
      <c r="H39" s="4" t="s">
        <v>6</v>
      </c>
      <c r="J39" s="12" t="s">
        <v>68</v>
      </c>
      <c r="K39" s="3">
        <v>1</v>
      </c>
      <c r="L39" s="3">
        <v>1</v>
      </c>
      <c r="M39" s="27">
        <f>IFERROR(L39/K39, "")</f>
        <v>1</v>
      </c>
    </row>
    <row r="40" spans="1:13" ht="19.75" customHeight="1" x14ac:dyDescent="0.5">
      <c r="A40" s="50">
        <v>45482</v>
      </c>
      <c r="B40" s="1" t="s">
        <v>70</v>
      </c>
      <c r="C40" s="1" t="s">
        <v>136</v>
      </c>
      <c r="D40" s="1" t="s">
        <v>215</v>
      </c>
      <c r="E40" s="1" t="s">
        <v>52</v>
      </c>
      <c r="F40" s="1"/>
      <c r="G40" s="3"/>
      <c r="H40" s="4" t="s">
        <v>7</v>
      </c>
      <c r="J40" s="12" t="s">
        <v>69</v>
      </c>
      <c r="K40" s="1">
        <v>1</v>
      </c>
      <c r="L40" s="1">
        <v>0</v>
      </c>
      <c r="M40" s="27">
        <f t="shared" ref="M40:M103" si="2">IFERROR(L40/K40, "")</f>
        <v>0</v>
      </c>
    </row>
    <row r="41" spans="1:13" ht="19.75" customHeight="1" x14ac:dyDescent="0.5">
      <c r="A41" s="50">
        <v>45484</v>
      </c>
      <c r="B41" s="1" t="s">
        <v>77</v>
      </c>
      <c r="C41" s="1" t="s">
        <v>137</v>
      </c>
      <c r="D41" s="1" t="s">
        <v>216</v>
      </c>
      <c r="E41" s="1" t="s">
        <v>52</v>
      </c>
      <c r="F41" s="1"/>
      <c r="G41" s="3"/>
      <c r="H41" s="4" t="s">
        <v>7</v>
      </c>
      <c r="J41" s="12" t="s">
        <v>70</v>
      </c>
      <c r="K41" s="1">
        <v>22</v>
      </c>
      <c r="L41" s="1">
        <v>3</v>
      </c>
      <c r="M41" s="27">
        <f t="shared" si="2"/>
        <v>0.13636363636363635</v>
      </c>
    </row>
    <row r="42" spans="1:13" x14ac:dyDescent="0.5">
      <c r="A42" s="50">
        <v>45485</v>
      </c>
      <c r="B42" s="1" t="s">
        <v>90</v>
      </c>
      <c r="C42" s="1" t="s">
        <v>138</v>
      </c>
      <c r="D42" s="1" t="s">
        <v>217</v>
      </c>
      <c r="E42" s="1" t="s">
        <v>52</v>
      </c>
      <c r="F42" s="1"/>
      <c r="G42" s="3"/>
      <c r="H42" s="4" t="s">
        <v>7</v>
      </c>
      <c r="J42" s="12" t="s">
        <v>71</v>
      </c>
      <c r="K42" s="1">
        <v>1</v>
      </c>
      <c r="L42" s="1">
        <v>0</v>
      </c>
      <c r="M42" s="27">
        <f t="shared" si="2"/>
        <v>0</v>
      </c>
    </row>
    <row r="43" spans="1:13" ht="20.45" customHeight="1" x14ac:dyDescent="0.5">
      <c r="A43" s="50">
        <v>45489</v>
      </c>
      <c r="B43" s="1" t="s">
        <v>91</v>
      </c>
      <c r="C43" s="1" t="s">
        <v>139</v>
      </c>
      <c r="D43" s="1" t="s">
        <v>218</v>
      </c>
      <c r="E43" s="1" t="s">
        <v>52</v>
      </c>
      <c r="F43" s="1"/>
      <c r="G43" s="3"/>
      <c r="H43" s="4" t="s">
        <v>6</v>
      </c>
      <c r="J43" s="12" t="s">
        <v>72</v>
      </c>
      <c r="K43" s="1">
        <v>1</v>
      </c>
      <c r="L43" s="1">
        <v>0</v>
      </c>
      <c r="M43" s="27">
        <f t="shared" si="2"/>
        <v>0</v>
      </c>
    </row>
    <row r="44" spans="1:13" x14ac:dyDescent="0.5">
      <c r="A44" s="50">
        <v>45491</v>
      </c>
      <c r="B44" s="1" t="s">
        <v>90</v>
      </c>
      <c r="C44" s="1" t="s">
        <v>140</v>
      </c>
      <c r="D44" s="1" t="s">
        <v>219</v>
      </c>
      <c r="E44" s="1" t="s">
        <v>51</v>
      </c>
      <c r="F44" s="1" t="s">
        <v>26</v>
      </c>
      <c r="G44" s="3"/>
      <c r="H44" s="4" t="s">
        <v>7</v>
      </c>
      <c r="J44" s="12" t="s">
        <v>73</v>
      </c>
      <c r="K44" s="1">
        <v>1</v>
      </c>
      <c r="L44" s="1">
        <v>0</v>
      </c>
      <c r="M44" s="27">
        <f t="shared" si="2"/>
        <v>0</v>
      </c>
    </row>
    <row r="45" spans="1:13" ht="20.95" customHeight="1" x14ac:dyDescent="0.5">
      <c r="A45" s="50">
        <v>45492</v>
      </c>
      <c r="B45" s="1" t="s">
        <v>82</v>
      </c>
      <c r="C45" s="1" t="s">
        <v>141</v>
      </c>
      <c r="D45" s="1" t="s">
        <v>220</v>
      </c>
      <c r="E45" s="1" t="s">
        <v>52</v>
      </c>
      <c r="F45" s="1"/>
      <c r="G45" s="3"/>
      <c r="H45" s="4" t="s">
        <v>6</v>
      </c>
      <c r="J45" s="12" t="s">
        <v>74</v>
      </c>
      <c r="K45" s="1">
        <v>1</v>
      </c>
      <c r="L45" s="1">
        <v>0</v>
      </c>
      <c r="M45" s="27">
        <f t="shared" si="2"/>
        <v>0</v>
      </c>
    </row>
    <row r="46" spans="1:13" ht="20.45" customHeight="1" x14ac:dyDescent="0.5">
      <c r="A46" s="50">
        <v>45492</v>
      </c>
      <c r="B46" s="1" t="s">
        <v>78</v>
      </c>
      <c r="C46" s="1" t="s">
        <v>142</v>
      </c>
      <c r="D46" s="1" t="s">
        <v>221</v>
      </c>
      <c r="E46" s="1" t="s">
        <v>67</v>
      </c>
      <c r="F46" s="1"/>
      <c r="G46" s="3"/>
      <c r="H46" s="4" t="s">
        <v>7</v>
      </c>
      <c r="J46" s="12" t="s">
        <v>75</v>
      </c>
      <c r="K46" s="1">
        <v>1</v>
      </c>
      <c r="L46" s="1">
        <v>0</v>
      </c>
      <c r="M46" s="27">
        <f t="shared" si="2"/>
        <v>0</v>
      </c>
    </row>
    <row r="47" spans="1:13" ht="20.95" customHeight="1" x14ac:dyDescent="0.5">
      <c r="A47" s="50">
        <v>45496</v>
      </c>
      <c r="B47" s="1" t="s">
        <v>82</v>
      </c>
      <c r="C47" s="1" t="s">
        <v>143</v>
      </c>
      <c r="D47" s="1" t="s">
        <v>222</v>
      </c>
      <c r="E47" s="1" t="s">
        <v>52</v>
      </c>
      <c r="F47" s="1"/>
      <c r="G47" s="3"/>
      <c r="H47" s="4" t="s">
        <v>6</v>
      </c>
      <c r="J47" s="12" t="s">
        <v>76</v>
      </c>
      <c r="K47" s="1">
        <v>1</v>
      </c>
      <c r="L47" s="1">
        <v>0</v>
      </c>
      <c r="M47" s="27">
        <f t="shared" si="2"/>
        <v>0</v>
      </c>
    </row>
    <row r="48" spans="1:13" ht="19.25" customHeight="1" x14ac:dyDescent="0.5">
      <c r="A48" s="50">
        <v>45499</v>
      </c>
      <c r="B48" s="1" t="s">
        <v>70</v>
      </c>
      <c r="C48" s="1" t="s">
        <v>144</v>
      </c>
      <c r="D48" s="1" t="s">
        <v>223</v>
      </c>
      <c r="E48" s="1" t="s">
        <v>52</v>
      </c>
      <c r="F48" s="1"/>
      <c r="G48" s="3"/>
      <c r="H48" s="4" t="s">
        <v>6</v>
      </c>
      <c r="J48" s="12" t="s">
        <v>77</v>
      </c>
      <c r="K48" s="1">
        <v>4</v>
      </c>
      <c r="L48" s="1">
        <v>1</v>
      </c>
      <c r="M48" s="27">
        <f t="shared" si="2"/>
        <v>0.25</v>
      </c>
    </row>
    <row r="49" spans="1:13" x14ac:dyDescent="0.5">
      <c r="A49" s="50">
        <v>45509</v>
      </c>
      <c r="B49" s="1" t="s">
        <v>70</v>
      </c>
      <c r="C49" s="1" t="s">
        <v>145</v>
      </c>
      <c r="D49" s="1" t="s">
        <v>224</v>
      </c>
      <c r="E49" s="1" t="s">
        <v>52</v>
      </c>
      <c r="F49" s="1"/>
      <c r="G49" s="3"/>
      <c r="H49" s="4" t="s">
        <v>6</v>
      </c>
      <c r="J49" s="12" t="s">
        <v>78</v>
      </c>
      <c r="K49" s="1">
        <v>5</v>
      </c>
      <c r="L49" s="1">
        <v>1</v>
      </c>
      <c r="M49" s="27">
        <f t="shared" si="2"/>
        <v>0.2</v>
      </c>
    </row>
    <row r="50" spans="1:13" ht="17.5" customHeight="1" x14ac:dyDescent="0.5">
      <c r="A50" s="50">
        <v>45511</v>
      </c>
      <c r="B50" s="1" t="s">
        <v>78</v>
      </c>
      <c r="C50" s="1" t="s">
        <v>146</v>
      </c>
      <c r="D50" s="1" t="s">
        <v>225</v>
      </c>
      <c r="E50" s="1" t="s">
        <v>51</v>
      </c>
      <c r="F50" s="1" t="s">
        <v>26</v>
      </c>
      <c r="G50" s="3"/>
      <c r="H50" s="4" t="s">
        <v>7</v>
      </c>
      <c r="J50" s="12" t="s">
        <v>79</v>
      </c>
      <c r="K50" s="1">
        <v>3</v>
      </c>
      <c r="L50" s="1">
        <v>0</v>
      </c>
      <c r="M50" s="27">
        <f t="shared" si="2"/>
        <v>0</v>
      </c>
    </row>
    <row r="51" spans="1:13" x14ac:dyDescent="0.5">
      <c r="A51" s="50">
        <v>45512</v>
      </c>
      <c r="B51" s="1" t="s">
        <v>80</v>
      </c>
      <c r="C51" s="1" t="s">
        <v>147</v>
      </c>
      <c r="D51" s="1" t="s">
        <v>226</v>
      </c>
      <c r="E51" s="1" t="s">
        <v>52</v>
      </c>
      <c r="F51" s="1"/>
      <c r="G51" s="3"/>
      <c r="H51" s="4" t="s">
        <v>7</v>
      </c>
      <c r="J51" s="12" t="s">
        <v>80</v>
      </c>
      <c r="K51" s="1">
        <v>2</v>
      </c>
      <c r="L51" s="1">
        <v>0</v>
      </c>
      <c r="M51" s="27">
        <f t="shared" si="2"/>
        <v>0</v>
      </c>
    </row>
    <row r="52" spans="1:13" x14ac:dyDescent="0.5">
      <c r="A52" s="50">
        <v>45518</v>
      </c>
      <c r="B52" s="1" t="s">
        <v>70</v>
      </c>
      <c r="C52" s="1" t="s">
        <v>148</v>
      </c>
      <c r="D52" s="1" t="s">
        <v>227</v>
      </c>
      <c r="E52" s="1" t="s">
        <v>52</v>
      </c>
      <c r="F52" s="1"/>
      <c r="G52" s="3"/>
      <c r="H52" s="4" t="s">
        <v>6</v>
      </c>
      <c r="J52" s="12" t="s">
        <v>81</v>
      </c>
      <c r="K52" s="1">
        <v>1</v>
      </c>
      <c r="L52" s="1">
        <v>0</v>
      </c>
      <c r="M52" s="27">
        <f t="shared" si="2"/>
        <v>0</v>
      </c>
    </row>
    <row r="53" spans="1:13" ht="19.25" customHeight="1" x14ac:dyDescent="0.5">
      <c r="A53" s="50">
        <v>45531</v>
      </c>
      <c r="B53" s="1" t="s">
        <v>70</v>
      </c>
      <c r="C53" s="1" t="s">
        <v>149</v>
      </c>
      <c r="D53" s="1" t="s">
        <v>228</v>
      </c>
      <c r="E53" s="1" t="s">
        <v>52</v>
      </c>
      <c r="F53" s="1"/>
      <c r="G53" s="3"/>
      <c r="H53" s="4" t="s">
        <v>7</v>
      </c>
      <c r="J53" s="12" t="s">
        <v>82</v>
      </c>
      <c r="K53" s="1">
        <v>7</v>
      </c>
      <c r="L53" s="1">
        <v>1</v>
      </c>
      <c r="M53" s="27">
        <f t="shared" si="2"/>
        <v>0.14285714285714285</v>
      </c>
    </row>
    <row r="54" spans="1:13" ht="19.25" customHeight="1" x14ac:dyDescent="0.5">
      <c r="A54" s="50">
        <v>45534</v>
      </c>
      <c r="B54" s="1" t="s">
        <v>85</v>
      </c>
      <c r="C54" s="1" t="s">
        <v>150</v>
      </c>
      <c r="D54" s="1" t="s">
        <v>229</v>
      </c>
      <c r="E54" s="1" t="s">
        <v>52</v>
      </c>
      <c r="F54" s="1"/>
      <c r="G54" s="3"/>
      <c r="H54" s="4" t="s">
        <v>7</v>
      </c>
      <c r="J54" s="12" t="s">
        <v>83</v>
      </c>
      <c r="K54" s="1">
        <v>1</v>
      </c>
      <c r="L54" s="1">
        <v>0</v>
      </c>
      <c r="M54" s="27">
        <f t="shared" si="2"/>
        <v>0</v>
      </c>
    </row>
    <row r="55" spans="1:13" x14ac:dyDescent="0.5">
      <c r="A55" s="50">
        <v>45539</v>
      </c>
      <c r="B55" s="1" t="s">
        <v>92</v>
      </c>
      <c r="C55" s="1" t="s">
        <v>151</v>
      </c>
      <c r="D55" s="1" t="s">
        <v>230</v>
      </c>
      <c r="E55" s="1" t="s">
        <v>51</v>
      </c>
      <c r="F55" s="1" t="s">
        <v>26</v>
      </c>
      <c r="G55" s="3"/>
      <c r="H55" s="4" t="s">
        <v>7</v>
      </c>
      <c r="J55" s="12" t="s">
        <v>84</v>
      </c>
      <c r="K55" s="1">
        <v>1</v>
      </c>
      <c r="L55" s="1">
        <v>0</v>
      </c>
      <c r="M55" s="27">
        <f t="shared" si="2"/>
        <v>0</v>
      </c>
    </row>
    <row r="56" spans="1:13" x14ac:dyDescent="0.5">
      <c r="A56" s="50">
        <v>45540</v>
      </c>
      <c r="B56" s="1" t="s">
        <v>90</v>
      </c>
      <c r="C56" s="1" t="s">
        <v>152</v>
      </c>
      <c r="D56" s="1" t="s">
        <v>231</v>
      </c>
      <c r="E56" s="1" t="s">
        <v>52</v>
      </c>
      <c r="F56" s="1"/>
      <c r="G56" s="3"/>
      <c r="H56" s="4" t="s">
        <v>7</v>
      </c>
      <c r="J56" s="12" t="s">
        <v>85</v>
      </c>
      <c r="K56" s="1">
        <v>3</v>
      </c>
      <c r="L56" s="1">
        <v>1</v>
      </c>
      <c r="M56" s="27">
        <f t="shared" si="2"/>
        <v>0.33333333333333331</v>
      </c>
    </row>
    <row r="57" spans="1:13" x14ac:dyDescent="0.5">
      <c r="A57" s="50">
        <v>45545</v>
      </c>
      <c r="B57" s="1" t="s">
        <v>87</v>
      </c>
      <c r="C57" s="1" t="s">
        <v>153</v>
      </c>
      <c r="D57" s="1" t="s">
        <v>232</v>
      </c>
      <c r="E57" s="1" t="s">
        <v>52</v>
      </c>
      <c r="F57" s="1"/>
      <c r="G57" s="3"/>
      <c r="H57" s="4" t="s">
        <v>7</v>
      </c>
      <c r="J57" s="12" t="s">
        <v>86</v>
      </c>
      <c r="K57" s="1">
        <v>1</v>
      </c>
      <c r="L57" s="1">
        <v>0</v>
      </c>
      <c r="M57" s="27">
        <f t="shared" si="2"/>
        <v>0</v>
      </c>
    </row>
    <row r="58" spans="1:13" x14ac:dyDescent="0.5">
      <c r="A58" s="50">
        <v>45548</v>
      </c>
      <c r="B58" s="1" t="s">
        <v>70</v>
      </c>
      <c r="C58" s="1" t="s">
        <v>154</v>
      </c>
      <c r="D58" s="1" t="s">
        <v>233</v>
      </c>
      <c r="E58" s="1" t="s">
        <v>52</v>
      </c>
      <c r="F58" s="1"/>
      <c r="G58" s="3"/>
      <c r="H58" s="4" t="s">
        <v>6</v>
      </c>
      <c r="J58" s="12" t="s">
        <v>87</v>
      </c>
      <c r="K58" s="1">
        <v>8</v>
      </c>
      <c r="L58" s="1">
        <v>0</v>
      </c>
      <c r="M58" s="27">
        <f>IFERROR(L58/K58, "")</f>
        <v>0</v>
      </c>
    </row>
    <row r="59" spans="1:13" x14ac:dyDescent="0.5">
      <c r="A59" s="50">
        <v>45559</v>
      </c>
      <c r="B59" s="1" t="s">
        <v>85</v>
      </c>
      <c r="C59" s="1" t="s">
        <v>155</v>
      </c>
      <c r="D59" s="1" t="s">
        <v>234</v>
      </c>
      <c r="E59" s="1" t="s">
        <v>52</v>
      </c>
      <c r="F59" s="1"/>
      <c r="G59" s="3"/>
      <c r="H59" s="4" t="s">
        <v>7</v>
      </c>
      <c r="J59" s="12" t="s">
        <v>88</v>
      </c>
      <c r="K59" s="1">
        <v>1</v>
      </c>
      <c r="L59" s="1">
        <v>0</v>
      </c>
      <c r="M59" s="27">
        <f t="shared" si="2"/>
        <v>0</v>
      </c>
    </row>
    <row r="60" spans="1:13" x14ac:dyDescent="0.5">
      <c r="A60" s="50">
        <v>45574</v>
      </c>
      <c r="B60" s="1" t="s">
        <v>93</v>
      </c>
      <c r="C60" s="1" t="s">
        <v>156</v>
      </c>
      <c r="D60" s="1" t="s">
        <v>235</v>
      </c>
      <c r="E60" s="1" t="s">
        <v>52</v>
      </c>
      <c r="F60" s="1"/>
      <c r="G60" s="3"/>
      <c r="H60" s="4" t="s">
        <v>6</v>
      </c>
      <c r="J60" s="12" t="s">
        <v>89</v>
      </c>
      <c r="K60" s="1">
        <v>1</v>
      </c>
      <c r="L60" s="1">
        <v>0</v>
      </c>
      <c r="M60" s="27">
        <f t="shared" si="2"/>
        <v>0</v>
      </c>
    </row>
    <row r="61" spans="1:13" ht="16.8" customHeight="1" x14ac:dyDescent="0.5">
      <c r="A61" s="50">
        <v>45575</v>
      </c>
      <c r="B61" s="1" t="s">
        <v>70</v>
      </c>
      <c r="C61" s="1" t="s">
        <v>157</v>
      </c>
      <c r="D61" s="1" t="s">
        <v>236</v>
      </c>
      <c r="E61" s="1" t="s">
        <v>67</v>
      </c>
      <c r="F61" s="1"/>
      <c r="G61" s="3"/>
      <c r="H61" s="4" t="s">
        <v>6</v>
      </c>
      <c r="J61" s="12" t="s">
        <v>90</v>
      </c>
      <c r="K61" s="1">
        <v>3</v>
      </c>
      <c r="L61" s="1">
        <v>1</v>
      </c>
      <c r="M61" s="27">
        <f t="shared" si="2"/>
        <v>0.33333333333333331</v>
      </c>
    </row>
    <row r="62" spans="1:13" ht="19.25" customHeight="1" x14ac:dyDescent="0.5">
      <c r="A62" s="50">
        <v>45576</v>
      </c>
      <c r="B62" s="1" t="s">
        <v>94</v>
      </c>
      <c r="C62" s="1" t="s">
        <v>158</v>
      </c>
      <c r="D62" s="1" t="s">
        <v>237</v>
      </c>
      <c r="E62" s="1" t="s">
        <v>52</v>
      </c>
      <c r="F62" s="1"/>
      <c r="G62" s="3"/>
      <c r="H62" s="4" t="s">
        <v>7</v>
      </c>
      <c r="J62" s="12" t="s">
        <v>91</v>
      </c>
      <c r="K62" s="1">
        <v>2</v>
      </c>
      <c r="L62" s="1">
        <v>0</v>
      </c>
      <c r="M62" s="27">
        <f t="shared" si="2"/>
        <v>0</v>
      </c>
    </row>
    <row r="63" spans="1:13" ht="19.75" customHeight="1" x14ac:dyDescent="0.5">
      <c r="A63" s="50">
        <v>45580</v>
      </c>
      <c r="B63" s="1" t="s">
        <v>87</v>
      </c>
      <c r="C63" s="1" t="s">
        <v>159</v>
      </c>
      <c r="D63" s="1" t="s">
        <v>238</v>
      </c>
      <c r="E63" s="1" t="s">
        <v>52</v>
      </c>
      <c r="F63" s="1"/>
      <c r="G63" s="3"/>
      <c r="H63" s="4" t="s">
        <v>7</v>
      </c>
      <c r="J63" s="12" t="s">
        <v>92</v>
      </c>
      <c r="K63" s="1">
        <v>1</v>
      </c>
      <c r="L63" s="1">
        <v>1</v>
      </c>
      <c r="M63" s="27">
        <f t="shared" si="2"/>
        <v>1</v>
      </c>
    </row>
    <row r="64" spans="1:13" ht="18.55" customHeight="1" x14ac:dyDescent="0.5">
      <c r="A64" s="50">
        <v>45581</v>
      </c>
      <c r="B64" s="1" t="s">
        <v>77</v>
      </c>
      <c r="C64" s="1" t="s">
        <v>160</v>
      </c>
      <c r="D64" s="1" t="s">
        <v>239</v>
      </c>
      <c r="E64" s="1" t="s">
        <v>52</v>
      </c>
      <c r="F64" s="1"/>
      <c r="G64" s="3"/>
      <c r="H64" s="4" t="s">
        <v>6</v>
      </c>
      <c r="J64" s="12" t="s">
        <v>93</v>
      </c>
      <c r="K64" s="1">
        <v>1</v>
      </c>
      <c r="L64" s="1">
        <v>0</v>
      </c>
      <c r="M64" s="27">
        <f t="shared" si="2"/>
        <v>0</v>
      </c>
    </row>
    <row r="65" spans="1:13" ht="18.55" customHeight="1" x14ac:dyDescent="0.5">
      <c r="A65" s="50">
        <v>45582</v>
      </c>
      <c r="B65" s="1" t="s">
        <v>95</v>
      </c>
      <c r="C65" s="1" t="s">
        <v>161</v>
      </c>
      <c r="D65" s="1" t="s">
        <v>240</v>
      </c>
      <c r="E65" s="1" t="s">
        <v>52</v>
      </c>
      <c r="F65" s="1"/>
      <c r="G65" s="3"/>
      <c r="H65" s="4" t="s">
        <v>6</v>
      </c>
      <c r="J65" s="12" t="s">
        <v>94</v>
      </c>
      <c r="K65" s="1">
        <v>1</v>
      </c>
      <c r="L65" s="1">
        <v>0</v>
      </c>
      <c r="M65" s="27">
        <f t="shared" si="2"/>
        <v>0</v>
      </c>
    </row>
    <row r="66" spans="1:13" x14ac:dyDescent="0.5">
      <c r="A66" s="50">
        <v>45593</v>
      </c>
      <c r="B66" s="1" t="s">
        <v>78</v>
      </c>
      <c r="C66" s="1" t="s">
        <v>162</v>
      </c>
      <c r="D66" s="1" t="s">
        <v>241</v>
      </c>
      <c r="E66" s="1" t="s">
        <v>52</v>
      </c>
      <c r="F66" s="1"/>
      <c r="G66" s="3"/>
      <c r="H66" s="4" t="s">
        <v>7</v>
      </c>
      <c r="J66" s="12" t="s">
        <v>95</v>
      </c>
      <c r="K66" s="1">
        <v>1</v>
      </c>
      <c r="L66" s="1">
        <v>0</v>
      </c>
      <c r="M66" s="27">
        <f t="shared" si="2"/>
        <v>0</v>
      </c>
    </row>
    <row r="67" spans="1:13" x14ac:dyDescent="0.5">
      <c r="A67" s="50">
        <v>45595</v>
      </c>
      <c r="B67" s="1" t="s">
        <v>70</v>
      </c>
      <c r="C67" s="1" t="s">
        <v>163</v>
      </c>
      <c r="D67" s="1" t="s">
        <v>242</v>
      </c>
      <c r="E67" s="1" t="s">
        <v>52</v>
      </c>
      <c r="F67" s="1"/>
      <c r="G67" s="3"/>
      <c r="H67" s="4" t="s">
        <v>6</v>
      </c>
      <c r="J67" s="12" t="s">
        <v>96</v>
      </c>
      <c r="K67" s="1">
        <v>1</v>
      </c>
      <c r="L67" s="1">
        <v>0</v>
      </c>
      <c r="M67" s="27">
        <f t="shared" si="2"/>
        <v>0</v>
      </c>
    </row>
    <row r="68" spans="1:13" ht="18.55" customHeight="1" x14ac:dyDescent="0.5">
      <c r="A68" s="50">
        <v>45602</v>
      </c>
      <c r="B68" s="1" t="s">
        <v>91</v>
      </c>
      <c r="C68" s="1" t="s">
        <v>164</v>
      </c>
      <c r="D68" s="1" t="s">
        <v>243</v>
      </c>
      <c r="E68" s="1" t="s">
        <v>52</v>
      </c>
      <c r="F68" s="1"/>
      <c r="G68" s="3"/>
      <c r="H68" s="4" t="s">
        <v>7</v>
      </c>
      <c r="J68" s="12" t="s">
        <v>97</v>
      </c>
      <c r="K68" s="1">
        <v>1</v>
      </c>
      <c r="L68" s="1">
        <v>0</v>
      </c>
      <c r="M68" s="27">
        <f t="shared" si="2"/>
        <v>0</v>
      </c>
    </row>
    <row r="69" spans="1:13" x14ac:dyDescent="0.5">
      <c r="A69" s="50">
        <v>45610</v>
      </c>
      <c r="B69" s="1" t="s">
        <v>70</v>
      </c>
      <c r="C69" s="1" t="s">
        <v>165</v>
      </c>
      <c r="D69" s="1" t="s">
        <v>244</v>
      </c>
      <c r="E69" s="1" t="s">
        <v>51</v>
      </c>
      <c r="F69" s="1"/>
      <c r="G69" s="3"/>
      <c r="H69" s="4" t="s">
        <v>7</v>
      </c>
      <c r="J69" s="5"/>
      <c r="K69" s="1"/>
      <c r="L69" s="1"/>
      <c r="M69" s="27" t="str">
        <f t="shared" si="2"/>
        <v/>
      </c>
    </row>
    <row r="70" spans="1:13" x14ac:dyDescent="0.5">
      <c r="A70" s="50">
        <v>45612</v>
      </c>
      <c r="B70" s="1" t="s">
        <v>87</v>
      </c>
      <c r="C70" s="1" t="s">
        <v>166</v>
      </c>
      <c r="D70" s="1" t="s">
        <v>245</v>
      </c>
      <c r="E70" s="1" t="s">
        <v>52</v>
      </c>
      <c r="F70" s="1"/>
      <c r="G70" s="3"/>
      <c r="H70" s="4" t="s">
        <v>6</v>
      </c>
      <c r="J70" s="5"/>
      <c r="K70" s="1"/>
      <c r="L70" s="1"/>
      <c r="M70" s="27" t="str">
        <f t="shared" si="2"/>
        <v/>
      </c>
    </row>
    <row r="71" spans="1:13" ht="18" customHeight="1" x14ac:dyDescent="0.5">
      <c r="A71" s="50">
        <v>45623</v>
      </c>
      <c r="B71" s="1" t="s">
        <v>70</v>
      </c>
      <c r="C71" s="1" t="s">
        <v>167</v>
      </c>
      <c r="D71" s="1" t="s">
        <v>246</v>
      </c>
      <c r="E71" s="1" t="s">
        <v>52</v>
      </c>
      <c r="F71" s="1"/>
      <c r="G71" s="3"/>
      <c r="H71" s="4" t="s">
        <v>6</v>
      </c>
      <c r="J71" s="5"/>
      <c r="K71" s="1"/>
      <c r="L71" s="1"/>
      <c r="M71" s="27" t="str">
        <f t="shared" si="2"/>
        <v/>
      </c>
    </row>
    <row r="72" spans="1:13" x14ac:dyDescent="0.5">
      <c r="A72" s="50">
        <v>45630</v>
      </c>
      <c r="B72" s="1" t="s">
        <v>87</v>
      </c>
      <c r="C72" s="1" t="s">
        <v>168</v>
      </c>
      <c r="D72" s="1" t="s">
        <v>247</v>
      </c>
      <c r="E72" s="1" t="s">
        <v>52</v>
      </c>
      <c r="F72" s="1"/>
      <c r="G72" s="3"/>
      <c r="H72" s="4" t="s">
        <v>7</v>
      </c>
      <c r="J72" s="5"/>
      <c r="K72" s="1"/>
      <c r="L72" s="1"/>
      <c r="M72" s="27" t="str">
        <f t="shared" si="2"/>
        <v/>
      </c>
    </row>
    <row r="73" spans="1:13" x14ac:dyDescent="0.5">
      <c r="A73" s="50">
        <v>45632</v>
      </c>
      <c r="B73" s="1" t="s">
        <v>70</v>
      </c>
      <c r="C73" s="1" t="s">
        <v>169</v>
      </c>
      <c r="D73" s="1" t="s">
        <v>248</v>
      </c>
      <c r="E73" s="1" t="s">
        <v>52</v>
      </c>
      <c r="F73" s="1"/>
      <c r="G73" s="3"/>
      <c r="H73" s="4" t="s">
        <v>7</v>
      </c>
      <c r="J73" s="5"/>
      <c r="K73" s="1"/>
      <c r="L73" s="1"/>
      <c r="M73" s="27" t="str">
        <f t="shared" si="2"/>
        <v/>
      </c>
    </row>
    <row r="74" spans="1:13" x14ac:dyDescent="0.5">
      <c r="A74" s="50">
        <v>45635</v>
      </c>
      <c r="B74" s="1" t="s">
        <v>79</v>
      </c>
      <c r="C74" s="1" t="s">
        <v>170</v>
      </c>
      <c r="D74" s="1" t="s">
        <v>249</v>
      </c>
      <c r="E74" s="1" t="s">
        <v>52</v>
      </c>
      <c r="F74" s="1"/>
      <c r="G74" s="3"/>
      <c r="H74" s="4" t="s">
        <v>6</v>
      </c>
      <c r="J74" s="5"/>
      <c r="K74" s="1"/>
      <c r="L74" s="1"/>
      <c r="M74" s="27" t="str">
        <f t="shared" si="2"/>
        <v/>
      </c>
    </row>
    <row r="75" spans="1:13" x14ac:dyDescent="0.5">
      <c r="A75" s="50">
        <v>45635</v>
      </c>
      <c r="B75" s="1" t="s">
        <v>96</v>
      </c>
      <c r="C75" s="1" t="s">
        <v>171</v>
      </c>
      <c r="D75" s="1" t="s">
        <v>250</v>
      </c>
      <c r="E75" s="1" t="s">
        <v>52</v>
      </c>
      <c r="F75" s="1"/>
      <c r="G75" s="3"/>
      <c r="H75" s="4" t="s">
        <v>6</v>
      </c>
      <c r="J75" s="5"/>
      <c r="K75" s="1"/>
      <c r="L75" s="1"/>
      <c r="M75" s="27" t="str">
        <f t="shared" si="2"/>
        <v/>
      </c>
    </row>
    <row r="76" spans="1:13" x14ac:dyDescent="0.5">
      <c r="A76" s="50">
        <v>45635</v>
      </c>
      <c r="B76" s="1" t="s">
        <v>87</v>
      </c>
      <c r="C76" s="1" t="s">
        <v>172</v>
      </c>
      <c r="D76" s="1" t="s">
        <v>251</v>
      </c>
      <c r="E76" s="1" t="s">
        <v>52</v>
      </c>
      <c r="F76" s="1"/>
      <c r="G76" s="3"/>
      <c r="H76" s="4" t="s">
        <v>7</v>
      </c>
      <c r="J76" s="5"/>
      <c r="K76" s="1"/>
      <c r="L76" s="1"/>
      <c r="M76" s="27" t="str">
        <f t="shared" si="2"/>
        <v/>
      </c>
    </row>
    <row r="77" spans="1:13" ht="18.55" customHeight="1" x14ac:dyDescent="0.5">
      <c r="A77" s="50">
        <v>45639</v>
      </c>
      <c r="B77" s="1" t="s">
        <v>97</v>
      </c>
      <c r="C77" s="1" t="s">
        <v>173</v>
      </c>
      <c r="D77" s="1" t="s">
        <v>252</v>
      </c>
      <c r="E77" s="1" t="s">
        <v>52</v>
      </c>
      <c r="F77" s="1"/>
      <c r="G77" s="3"/>
      <c r="H77" s="4" t="s">
        <v>7</v>
      </c>
      <c r="J77" s="5"/>
      <c r="K77" s="1"/>
      <c r="L77" s="1"/>
      <c r="M77" s="27" t="str">
        <f t="shared" si="2"/>
        <v/>
      </c>
    </row>
    <row r="78" spans="1:13" ht="16.8" customHeight="1" x14ac:dyDescent="0.5">
      <c r="A78" s="50">
        <v>45645</v>
      </c>
      <c r="B78" s="1" t="s">
        <v>82</v>
      </c>
      <c r="C78" s="1" t="s">
        <v>174</v>
      </c>
      <c r="D78" s="1" t="s">
        <v>253</v>
      </c>
      <c r="E78" s="1" t="s">
        <v>52</v>
      </c>
      <c r="F78" s="1"/>
      <c r="G78" s="3"/>
      <c r="H78" s="4" t="s">
        <v>6</v>
      </c>
      <c r="J78" s="5"/>
      <c r="K78" s="1"/>
      <c r="L78" s="1"/>
      <c r="M78" s="27" t="str">
        <f t="shared" si="2"/>
        <v/>
      </c>
    </row>
    <row r="79" spans="1:13" ht="20.45" customHeight="1" x14ac:dyDescent="0.5">
      <c r="A79" s="50">
        <v>45649</v>
      </c>
      <c r="B79" s="1" t="s">
        <v>70</v>
      </c>
      <c r="C79" s="1" t="s">
        <v>175</v>
      </c>
      <c r="D79" s="1" t="s">
        <v>254</v>
      </c>
      <c r="E79" s="1" t="s">
        <v>52</v>
      </c>
      <c r="F79" s="1"/>
      <c r="G79" s="3"/>
      <c r="H79" s="4" t="s">
        <v>6</v>
      </c>
      <c r="J79" s="5"/>
      <c r="K79" s="1"/>
      <c r="L79" s="1"/>
      <c r="M79" s="27" t="str">
        <f t="shared" si="2"/>
        <v/>
      </c>
    </row>
    <row r="80" spans="1:13" ht="20.45" customHeight="1" x14ac:dyDescent="0.5">
      <c r="A80" s="50">
        <v>45650</v>
      </c>
      <c r="B80" s="5" t="s">
        <v>82</v>
      </c>
      <c r="C80" s="1" t="s">
        <v>176</v>
      </c>
      <c r="D80" s="1" t="s">
        <v>255</v>
      </c>
      <c r="E80" s="1" t="s">
        <v>52</v>
      </c>
      <c r="F80" s="1"/>
      <c r="G80" s="3"/>
      <c r="H80" s="4" t="s">
        <v>6</v>
      </c>
      <c r="J80" s="5"/>
      <c r="K80" s="1"/>
      <c r="L80" s="1"/>
      <c r="M80" s="27" t="str">
        <f t="shared" si="2"/>
        <v/>
      </c>
    </row>
    <row r="81" spans="1:13" x14ac:dyDescent="0.5">
      <c r="A81" s="9"/>
      <c r="B81" s="1"/>
      <c r="C81" s="1"/>
      <c r="D81" s="1"/>
      <c r="E81" s="1"/>
      <c r="F81" s="1"/>
      <c r="G81" s="1"/>
      <c r="H81" s="4"/>
      <c r="J81" s="5"/>
      <c r="K81" s="1"/>
      <c r="L81" s="1"/>
      <c r="M81" s="27" t="str">
        <f t="shared" si="2"/>
        <v/>
      </c>
    </row>
    <row r="82" spans="1:13" x14ac:dyDescent="0.5">
      <c r="A82" s="9"/>
      <c r="B82" s="1"/>
      <c r="C82" s="1"/>
      <c r="D82" s="1"/>
      <c r="E82" s="1"/>
      <c r="F82" s="1"/>
      <c r="G82" s="1"/>
      <c r="H82" s="4"/>
      <c r="J82" s="5"/>
      <c r="K82" s="1"/>
      <c r="L82" s="1"/>
      <c r="M82" s="27" t="str">
        <f t="shared" si="2"/>
        <v/>
      </c>
    </row>
    <row r="83" spans="1:13" x14ac:dyDescent="0.5">
      <c r="A83" s="9"/>
      <c r="B83" s="1"/>
      <c r="C83" s="1"/>
      <c r="D83" s="1"/>
      <c r="E83" s="1"/>
      <c r="F83" s="1"/>
      <c r="G83" s="1"/>
      <c r="H83" s="4"/>
      <c r="J83" s="5"/>
      <c r="K83" s="1"/>
      <c r="L83" s="1"/>
      <c r="M83" s="27" t="str">
        <f t="shared" si="2"/>
        <v/>
      </c>
    </row>
    <row r="84" spans="1:13" x14ac:dyDescent="0.5">
      <c r="A84" s="9"/>
      <c r="B84" s="1"/>
      <c r="C84" s="1"/>
      <c r="D84" s="1"/>
      <c r="E84" s="1"/>
      <c r="F84" s="1"/>
      <c r="G84" s="1"/>
      <c r="H84" s="4"/>
      <c r="J84" s="5"/>
      <c r="K84" s="1"/>
      <c r="L84" s="1"/>
      <c r="M84" s="27" t="str">
        <f t="shared" si="2"/>
        <v/>
      </c>
    </row>
    <row r="85" spans="1:13" x14ac:dyDescent="0.5">
      <c r="A85" s="9"/>
      <c r="B85" s="1"/>
      <c r="C85" s="1"/>
      <c r="D85" s="1"/>
      <c r="E85" s="1"/>
      <c r="F85" s="1"/>
      <c r="G85" s="1"/>
      <c r="H85" s="4"/>
      <c r="J85" s="5"/>
      <c r="K85" s="1"/>
      <c r="L85" s="1"/>
      <c r="M85" s="27" t="str">
        <f t="shared" si="2"/>
        <v/>
      </c>
    </row>
    <row r="86" spans="1:13" x14ac:dyDescent="0.5">
      <c r="A86" s="9"/>
      <c r="B86" s="1"/>
      <c r="C86" s="1"/>
      <c r="D86" s="1"/>
      <c r="E86" s="1"/>
      <c r="F86" s="1"/>
      <c r="G86" s="1"/>
      <c r="H86" s="4"/>
      <c r="J86" s="5"/>
      <c r="K86" s="1"/>
      <c r="L86" s="1"/>
      <c r="M86" s="27" t="str">
        <f t="shared" si="2"/>
        <v/>
      </c>
    </row>
    <row r="87" spans="1:13" x14ac:dyDescent="0.5">
      <c r="A87" s="9"/>
      <c r="B87" s="1"/>
      <c r="C87" s="1"/>
      <c r="D87" s="1"/>
      <c r="E87" s="1"/>
      <c r="F87" s="1"/>
      <c r="G87" s="1"/>
      <c r="H87" s="4"/>
      <c r="J87" s="5"/>
      <c r="K87" s="1"/>
      <c r="L87" s="1"/>
      <c r="M87" s="27" t="str">
        <f t="shared" si="2"/>
        <v/>
      </c>
    </row>
    <row r="88" spans="1:13" x14ac:dyDescent="0.5">
      <c r="A88" s="9"/>
      <c r="B88" s="1"/>
      <c r="C88" s="1"/>
      <c r="D88" s="1"/>
      <c r="E88" s="1"/>
      <c r="F88" s="1"/>
      <c r="G88" s="1"/>
      <c r="H88" s="4"/>
      <c r="J88" s="5"/>
      <c r="K88" s="1"/>
      <c r="L88" s="1"/>
      <c r="M88" s="27" t="str">
        <f t="shared" si="2"/>
        <v/>
      </c>
    </row>
    <row r="89" spans="1:13" x14ac:dyDescent="0.5">
      <c r="A89" s="9"/>
      <c r="B89" s="1"/>
      <c r="C89" s="1"/>
      <c r="D89" s="1"/>
      <c r="E89" s="1"/>
      <c r="F89" s="1"/>
      <c r="G89" s="1"/>
      <c r="H89" s="4"/>
      <c r="J89" s="5"/>
      <c r="K89" s="1"/>
      <c r="L89" s="1"/>
      <c r="M89" s="27" t="str">
        <f t="shared" si="2"/>
        <v/>
      </c>
    </row>
    <row r="90" spans="1:13" x14ac:dyDescent="0.5">
      <c r="A90" s="9"/>
      <c r="B90" s="1"/>
      <c r="C90" s="1"/>
      <c r="D90" s="1"/>
      <c r="E90" s="1"/>
      <c r="F90" s="1"/>
      <c r="G90" s="1"/>
      <c r="H90" s="4"/>
      <c r="J90" s="5"/>
      <c r="K90" s="1"/>
      <c r="L90" s="1"/>
      <c r="M90" s="27" t="str">
        <f t="shared" si="2"/>
        <v/>
      </c>
    </row>
    <row r="91" spans="1:13" x14ac:dyDescent="0.5">
      <c r="A91" s="9"/>
      <c r="B91" s="1"/>
      <c r="C91" s="1"/>
      <c r="D91" s="1"/>
      <c r="E91" s="1"/>
      <c r="F91" s="1"/>
      <c r="G91" s="1"/>
      <c r="H91" s="4"/>
      <c r="J91" s="5"/>
      <c r="K91" s="1"/>
      <c r="L91" s="1"/>
      <c r="M91" s="27" t="str">
        <f t="shared" si="2"/>
        <v/>
      </c>
    </row>
    <row r="92" spans="1:13" x14ac:dyDescent="0.5">
      <c r="A92" s="9"/>
      <c r="B92" s="1"/>
      <c r="C92" s="1"/>
      <c r="D92" s="1"/>
      <c r="E92" s="1"/>
      <c r="F92" s="1"/>
      <c r="G92" s="1"/>
      <c r="H92" s="4"/>
      <c r="J92" s="5"/>
      <c r="K92" s="1"/>
      <c r="L92" s="1"/>
      <c r="M92" s="27" t="str">
        <f t="shared" si="2"/>
        <v/>
      </c>
    </row>
    <row r="93" spans="1:13" x14ac:dyDescent="0.5">
      <c r="A93" s="9"/>
      <c r="B93" s="1"/>
      <c r="C93" s="1"/>
      <c r="D93" s="1"/>
      <c r="E93" s="1"/>
      <c r="F93" s="1"/>
      <c r="G93" s="1"/>
      <c r="H93" s="4"/>
      <c r="J93" s="5"/>
      <c r="K93" s="1"/>
      <c r="L93" s="1"/>
      <c r="M93" s="27" t="str">
        <f t="shared" si="2"/>
        <v/>
      </c>
    </row>
    <row r="94" spans="1:13" x14ac:dyDescent="0.5">
      <c r="A94" s="9"/>
      <c r="B94" s="1"/>
      <c r="C94" s="1"/>
      <c r="D94" s="1"/>
      <c r="E94" s="1"/>
      <c r="F94" s="1"/>
      <c r="G94" s="1"/>
      <c r="H94" s="4"/>
      <c r="J94" s="5"/>
      <c r="K94" s="1"/>
      <c r="L94" s="1"/>
      <c r="M94" s="27" t="str">
        <f t="shared" si="2"/>
        <v/>
      </c>
    </row>
    <row r="95" spans="1:13" x14ac:dyDescent="0.5">
      <c r="A95" s="9"/>
      <c r="B95" s="1"/>
      <c r="C95" s="1"/>
      <c r="D95" s="1"/>
      <c r="E95" s="1"/>
      <c r="F95" s="1"/>
      <c r="G95" s="1"/>
      <c r="H95" s="4"/>
      <c r="J95" s="5"/>
      <c r="K95" s="1"/>
      <c r="L95" s="1"/>
      <c r="M95" s="27" t="str">
        <f t="shared" si="2"/>
        <v/>
      </c>
    </row>
    <row r="96" spans="1:13" x14ac:dyDescent="0.5">
      <c r="A96" s="9"/>
      <c r="B96" s="1"/>
      <c r="C96" s="1"/>
      <c r="D96" s="1"/>
      <c r="E96" s="1"/>
      <c r="F96" s="1"/>
      <c r="G96" s="1"/>
      <c r="H96" s="4"/>
      <c r="J96" s="5"/>
      <c r="K96" s="1"/>
      <c r="L96" s="1"/>
      <c r="M96" s="27" t="str">
        <f t="shared" si="2"/>
        <v/>
      </c>
    </row>
    <row r="97" spans="1:13" x14ac:dyDescent="0.5">
      <c r="A97" s="9"/>
      <c r="B97" s="1"/>
      <c r="C97" s="1"/>
      <c r="D97" s="1"/>
      <c r="E97" s="1"/>
      <c r="F97" s="1"/>
      <c r="G97" s="1"/>
      <c r="H97" s="4"/>
      <c r="J97" s="5"/>
      <c r="K97" s="1"/>
      <c r="L97" s="1"/>
      <c r="M97" s="27" t="str">
        <f t="shared" si="2"/>
        <v/>
      </c>
    </row>
    <row r="98" spans="1:13" x14ac:dyDescent="0.5">
      <c r="A98" s="9"/>
      <c r="B98" s="1"/>
      <c r="C98" s="1"/>
      <c r="D98" s="1"/>
      <c r="E98" s="1"/>
      <c r="F98" s="1"/>
      <c r="G98" s="1"/>
      <c r="H98" s="4"/>
      <c r="J98" s="5"/>
      <c r="K98" s="1"/>
      <c r="L98" s="1"/>
      <c r="M98" s="27" t="str">
        <f t="shared" si="2"/>
        <v/>
      </c>
    </row>
    <row r="99" spans="1:13" x14ac:dyDescent="0.5">
      <c r="A99" s="9"/>
      <c r="B99" s="1"/>
      <c r="C99" s="1"/>
      <c r="D99" s="1"/>
      <c r="E99" s="1"/>
      <c r="F99" s="1"/>
      <c r="G99" s="1"/>
      <c r="H99" s="4"/>
      <c r="J99" s="5"/>
      <c r="K99" s="1"/>
      <c r="L99" s="1"/>
      <c r="M99" s="27" t="str">
        <f t="shared" si="2"/>
        <v/>
      </c>
    </row>
    <row r="100" spans="1:13" x14ac:dyDescent="0.5">
      <c r="A100" s="9"/>
      <c r="B100" s="1"/>
      <c r="C100" s="1"/>
      <c r="D100" s="1"/>
      <c r="E100" s="1"/>
      <c r="F100" s="1"/>
      <c r="G100" s="1"/>
      <c r="H100" s="4"/>
      <c r="J100" s="5"/>
      <c r="K100" s="1"/>
      <c r="L100" s="1"/>
      <c r="M100" s="27" t="str">
        <f t="shared" si="2"/>
        <v/>
      </c>
    </row>
    <row r="101" spans="1:13" x14ac:dyDescent="0.5">
      <c r="A101" s="9"/>
      <c r="B101" s="1"/>
      <c r="C101" s="1"/>
      <c r="D101" s="1"/>
      <c r="E101" s="1"/>
      <c r="F101" s="1"/>
      <c r="G101" s="1"/>
      <c r="H101" s="4"/>
      <c r="J101" s="5"/>
      <c r="K101" s="1"/>
      <c r="L101" s="1"/>
      <c r="M101" s="27" t="str">
        <f t="shared" si="2"/>
        <v/>
      </c>
    </row>
    <row r="102" spans="1:13" x14ac:dyDescent="0.5">
      <c r="A102" s="9"/>
      <c r="B102" s="1"/>
      <c r="C102" s="1"/>
      <c r="D102" s="1"/>
      <c r="E102" s="1"/>
      <c r="F102" s="1"/>
      <c r="G102" s="1"/>
      <c r="H102" s="4"/>
      <c r="J102" s="5"/>
      <c r="K102" s="1"/>
      <c r="L102" s="1"/>
      <c r="M102" s="27" t="str">
        <f t="shared" si="2"/>
        <v/>
      </c>
    </row>
    <row r="103" spans="1:13" x14ac:dyDescent="0.5">
      <c r="A103" s="9"/>
      <c r="B103" s="1"/>
      <c r="C103" s="1"/>
      <c r="D103" s="1"/>
      <c r="E103" s="1"/>
      <c r="F103" s="1"/>
      <c r="G103" s="1"/>
      <c r="H103" s="4"/>
      <c r="J103" s="5"/>
      <c r="K103" s="1"/>
      <c r="L103" s="1"/>
      <c r="M103" s="27" t="str">
        <f t="shared" si="2"/>
        <v/>
      </c>
    </row>
    <row r="104" spans="1:13" x14ac:dyDescent="0.5">
      <c r="A104" s="9"/>
      <c r="B104" s="1"/>
      <c r="C104" s="1"/>
      <c r="D104" s="1"/>
      <c r="E104" s="1"/>
      <c r="F104" s="1"/>
      <c r="G104" s="1"/>
      <c r="H104" s="4"/>
      <c r="J104" s="5"/>
      <c r="K104" s="1"/>
      <c r="L104" s="1"/>
      <c r="M104" s="27" t="str">
        <f t="shared" ref="M104:M121" si="3">IFERROR(L104/K104, "")</f>
        <v/>
      </c>
    </row>
    <row r="105" spans="1:13" x14ac:dyDescent="0.5">
      <c r="A105" s="9"/>
      <c r="B105" s="1"/>
      <c r="C105" s="1"/>
      <c r="D105" s="1"/>
      <c r="E105" s="1"/>
      <c r="F105" s="1"/>
      <c r="G105" s="1"/>
      <c r="H105" s="4"/>
      <c r="J105" s="5"/>
      <c r="K105" s="1"/>
      <c r="L105" s="1"/>
      <c r="M105" s="27" t="str">
        <f t="shared" si="3"/>
        <v/>
      </c>
    </row>
    <row r="106" spans="1:13" x14ac:dyDescent="0.5">
      <c r="A106" s="9"/>
      <c r="B106" s="1"/>
      <c r="C106" s="1"/>
      <c r="D106" s="1"/>
      <c r="E106" s="1"/>
      <c r="F106" s="1"/>
      <c r="G106" s="1"/>
      <c r="H106" s="4"/>
      <c r="J106" s="5"/>
      <c r="K106" s="1"/>
      <c r="L106" s="1"/>
      <c r="M106" s="27" t="str">
        <f t="shared" si="3"/>
        <v/>
      </c>
    </row>
    <row r="107" spans="1:13" x14ac:dyDescent="0.5">
      <c r="A107" s="9"/>
      <c r="B107" s="1"/>
      <c r="C107" s="1"/>
      <c r="D107" s="1"/>
      <c r="E107" s="1"/>
      <c r="F107" s="1"/>
      <c r="G107" s="1"/>
      <c r="H107" s="4"/>
      <c r="J107" s="5"/>
      <c r="K107" s="1"/>
      <c r="L107" s="1"/>
      <c r="M107" s="27" t="str">
        <f t="shared" si="3"/>
        <v/>
      </c>
    </row>
    <row r="108" spans="1:13" x14ac:dyDescent="0.5">
      <c r="A108" s="9"/>
      <c r="B108" s="1"/>
      <c r="C108" s="1"/>
      <c r="D108" s="1"/>
      <c r="E108" s="1"/>
      <c r="F108" s="1"/>
      <c r="G108" s="1"/>
      <c r="H108" s="4"/>
      <c r="J108" s="5"/>
      <c r="K108" s="1"/>
      <c r="L108" s="1"/>
      <c r="M108" s="27" t="str">
        <f t="shared" si="3"/>
        <v/>
      </c>
    </row>
    <row r="109" spans="1:13" x14ac:dyDescent="0.5">
      <c r="A109" s="9"/>
      <c r="B109" s="1"/>
      <c r="C109" s="1"/>
      <c r="D109" s="1"/>
      <c r="E109" s="1"/>
      <c r="F109" s="1"/>
      <c r="G109" s="1"/>
      <c r="H109" s="4"/>
      <c r="J109" s="5"/>
      <c r="K109" s="1"/>
      <c r="L109" s="1"/>
      <c r="M109" s="27" t="str">
        <f t="shared" si="3"/>
        <v/>
      </c>
    </row>
    <row r="110" spans="1:13" x14ac:dyDescent="0.5">
      <c r="A110" s="9"/>
      <c r="B110" s="1"/>
      <c r="C110" s="1"/>
      <c r="D110" s="1"/>
      <c r="E110" s="1"/>
      <c r="F110" s="1"/>
      <c r="G110" s="1"/>
      <c r="H110" s="4"/>
      <c r="J110" s="5"/>
      <c r="K110" s="1"/>
      <c r="L110" s="1"/>
      <c r="M110" s="27" t="str">
        <f t="shared" si="3"/>
        <v/>
      </c>
    </row>
    <row r="111" spans="1:13" x14ac:dyDescent="0.5">
      <c r="A111" s="9"/>
      <c r="B111" s="1"/>
      <c r="C111" s="1"/>
      <c r="D111" s="1"/>
      <c r="E111" s="1"/>
      <c r="F111" s="1"/>
      <c r="G111" s="1"/>
      <c r="H111" s="4"/>
      <c r="J111" s="5"/>
      <c r="K111" s="1"/>
      <c r="L111" s="1"/>
      <c r="M111" s="27" t="str">
        <f t="shared" si="3"/>
        <v/>
      </c>
    </row>
    <row r="112" spans="1:13" x14ac:dyDescent="0.5">
      <c r="A112" s="9"/>
      <c r="B112" s="1"/>
      <c r="C112" s="1"/>
      <c r="D112" s="1"/>
      <c r="E112" s="1"/>
      <c r="F112" s="1"/>
      <c r="G112" s="1"/>
      <c r="H112" s="4"/>
      <c r="J112" s="5"/>
      <c r="K112" s="1"/>
      <c r="L112" s="1"/>
      <c r="M112" s="27" t="str">
        <f t="shared" si="3"/>
        <v/>
      </c>
    </row>
    <row r="113" spans="1:13" x14ac:dyDescent="0.5">
      <c r="A113" s="9"/>
      <c r="B113" s="1"/>
      <c r="C113" s="1"/>
      <c r="D113" s="1"/>
      <c r="E113" s="1"/>
      <c r="F113" s="1"/>
      <c r="G113" s="1"/>
      <c r="H113" s="4"/>
      <c r="J113" s="5"/>
      <c r="K113" s="1"/>
      <c r="L113" s="1"/>
      <c r="M113" s="27" t="str">
        <f t="shared" si="3"/>
        <v/>
      </c>
    </row>
    <row r="114" spans="1:13" x14ac:dyDescent="0.5">
      <c r="A114" s="9"/>
      <c r="B114" s="1"/>
      <c r="C114" s="1"/>
      <c r="D114" s="1"/>
      <c r="E114" s="1"/>
      <c r="F114" s="1"/>
      <c r="G114" s="1"/>
      <c r="H114" s="4"/>
      <c r="J114" s="5"/>
      <c r="K114" s="1"/>
      <c r="L114" s="1"/>
      <c r="M114" s="27" t="str">
        <f t="shared" si="3"/>
        <v/>
      </c>
    </row>
    <row r="115" spans="1:13" x14ac:dyDescent="0.5">
      <c r="A115" s="9"/>
      <c r="B115" s="1"/>
      <c r="C115" s="1"/>
      <c r="D115" s="1"/>
      <c r="E115" s="1"/>
      <c r="F115" s="1"/>
      <c r="G115" s="1"/>
      <c r="H115" s="4"/>
      <c r="J115" s="5"/>
      <c r="K115" s="1"/>
      <c r="L115" s="1"/>
      <c r="M115" s="27" t="str">
        <f t="shared" si="3"/>
        <v/>
      </c>
    </row>
    <row r="116" spans="1:13" x14ac:dyDescent="0.5">
      <c r="A116" s="9"/>
      <c r="B116" s="1"/>
      <c r="C116" s="1"/>
      <c r="D116" s="1"/>
      <c r="E116" s="1"/>
      <c r="F116" s="1"/>
      <c r="G116" s="1"/>
      <c r="H116" s="4"/>
      <c r="J116" s="5"/>
      <c r="K116" s="1"/>
      <c r="L116" s="1"/>
      <c r="M116" s="27" t="str">
        <f t="shared" si="3"/>
        <v/>
      </c>
    </row>
    <row r="117" spans="1:13" x14ac:dyDescent="0.5">
      <c r="A117" s="9"/>
      <c r="B117" s="1"/>
      <c r="C117" s="1"/>
      <c r="D117" s="1"/>
      <c r="E117" s="1"/>
      <c r="F117" s="1"/>
      <c r="G117" s="1"/>
      <c r="H117" s="4"/>
      <c r="J117" s="5"/>
      <c r="K117" s="1"/>
      <c r="L117" s="1"/>
      <c r="M117" s="27" t="str">
        <f t="shared" si="3"/>
        <v/>
      </c>
    </row>
    <row r="118" spans="1:13" x14ac:dyDescent="0.5">
      <c r="A118" s="9"/>
      <c r="B118" s="1"/>
      <c r="C118" s="1"/>
      <c r="D118" s="1"/>
      <c r="E118" s="1"/>
      <c r="F118" s="1"/>
      <c r="G118" s="1"/>
      <c r="H118" s="4"/>
      <c r="J118" s="5"/>
      <c r="K118" s="1"/>
      <c r="L118" s="1"/>
      <c r="M118" s="27" t="str">
        <f t="shared" si="3"/>
        <v/>
      </c>
    </row>
    <row r="119" spans="1:13" x14ac:dyDescent="0.5">
      <c r="A119" s="9"/>
      <c r="B119" s="1"/>
      <c r="C119" s="1"/>
      <c r="D119" s="1"/>
      <c r="E119" s="1"/>
      <c r="F119" s="1"/>
      <c r="G119" s="1"/>
      <c r="H119" s="4"/>
      <c r="J119" s="5"/>
      <c r="K119" s="1"/>
      <c r="L119" s="1"/>
      <c r="M119" s="27" t="str">
        <f t="shared" si="3"/>
        <v/>
      </c>
    </row>
    <row r="120" spans="1:13" x14ac:dyDescent="0.5">
      <c r="A120" s="9"/>
      <c r="B120" s="1"/>
      <c r="C120" s="1"/>
      <c r="D120" s="1"/>
      <c r="E120" s="1"/>
      <c r="F120" s="1"/>
      <c r="G120" s="1"/>
      <c r="H120" s="4"/>
      <c r="J120" s="5"/>
      <c r="K120" s="1"/>
      <c r="L120" s="1"/>
      <c r="M120" s="27" t="str">
        <f t="shared" si="3"/>
        <v/>
      </c>
    </row>
    <row r="121" spans="1:13" ht="18.3" thickBot="1" x14ac:dyDescent="0.55000000000000004">
      <c r="A121" s="10"/>
      <c r="B121" s="7"/>
      <c r="C121" s="7"/>
      <c r="D121" s="7"/>
      <c r="E121" s="7"/>
      <c r="F121" s="7"/>
      <c r="G121" s="7"/>
      <c r="H121" s="8"/>
      <c r="J121" s="6"/>
      <c r="K121" s="7"/>
      <c r="L121" s="7"/>
      <c r="M121" s="31" t="str">
        <f t="shared" si="3"/>
        <v/>
      </c>
    </row>
  </sheetData>
  <mergeCells count="23">
    <mergeCell ref="J37:M37"/>
    <mergeCell ref="J29:L29"/>
    <mergeCell ref="M13:N13"/>
    <mergeCell ref="M14:N14"/>
    <mergeCell ref="M15:N15"/>
    <mergeCell ref="M16:N16"/>
    <mergeCell ref="M17:N17"/>
    <mergeCell ref="M24:N24"/>
    <mergeCell ref="M25:N25"/>
    <mergeCell ref="M26:N26"/>
    <mergeCell ref="M27:N27"/>
    <mergeCell ref="J6:N6"/>
    <mergeCell ref="J2:L2"/>
    <mergeCell ref="J21:N21"/>
    <mergeCell ref="M23:N23"/>
    <mergeCell ref="M22:N22"/>
    <mergeCell ref="M8:N8"/>
    <mergeCell ref="M9:N9"/>
    <mergeCell ref="M10:N10"/>
    <mergeCell ref="M11:N11"/>
    <mergeCell ref="M12:N12"/>
    <mergeCell ref="M18:N18"/>
    <mergeCell ref="M19:N19"/>
  </mergeCells>
  <phoneticPr fontId="1"/>
  <dataValidations count="3">
    <dataValidation type="list" allowBlank="1" showInputMessage="1" showErrorMessage="1" sqref="H2:H121" xr:uid="{6CEFEEC2-52C2-4C93-8D40-4444B35B256A}">
      <formula1>$J$31:$J$35</formula1>
    </dataValidation>
    <dataValidation type="list" allowBlank="1" showInputMessage="1" showErrorMessage="1" sqref="F2:F121" xr:uid="{78FDF2D0-AD44-48E3-A157-D772C6BEF06E}">
      <formula1>$J$23:$J$27</formula1>
    </dataValidation>
    <dataValidation type="list" allowBlank="1" showInputMessage="1" showErrorMessage="1" sqref="E2:E121" xr:uid="{0EC44315-28DC-4086-9F50-AFE074AA37ED}">
      <formula1>$P$7:$P$9</formula1>
    </dataValidation>
  </dataValidations>
  <pageMargins left="0.25" right="0.25" top="0.75" bottom="0.75" header="0.3" footer="0.3"/>
  <pageSetup paperSize="8" scale="48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D60A-9774-40EA-8166-4C7D0D7A374D}">
  <sheetPr codeName="Sheet4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/>
      <c r="B2" s="48"/>
      <c r="C2" s="48"/>
      <c r="D2" s="48"/>
      <c r="E2" s="48"/>
      <c r="F2" s="48"/>
      <c r="G2" s="48"/>
      <c r="H2" s="49"/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0</v>
      </c>
      <c r="K4" s="7">
        <f>COUNTIF(E2:E120,"*×*")</f>
        <v>0</v>
      </c>
      <c r="L4" s="26" t="str">
        <f>IF(J4&lt;&gt;0, K4/J4, "-")</f>
        <v>-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 t="str">
        <f>IFERROR(K31/J$4, "-")</f>
        <v>-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 t="str">
        <f>IFERROR(K32/J$4, "-")</f>
        <v>-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 t="str">
        <f>IFERROR(K33/J$4, "-")</f>
        <v>-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 t="str">
        <f>IFERROR(K34/J$4, "-")</f>
        <v>-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 t="str">
        <f>IFERROR(K35/J$4, "-")</f>
        <v>-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17:N17"/>
    <mergeCell ref="J2:L2"/>
    <mergeCell ref="J6:N6"/>
    <mergeCell ref="M8:N8"/>
    <mergeCell ref="M9:N9"/>
    <mergeCell ref="M10:N10"/>
    <mergeCell ref="M11:N11"/>
    <mergeCell ref="M12:N12"/>
    <mergeCell ref="M13:N13"/>
    <mergeCell ref="M14:N14"/>
    <mergeCell ref="M15:N15"/>
    <mergeCell ref="M16:N16"/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</mergeCells>
  <phoneticPr fontId="1"/>
  <dataValidations count="3">
    <dataValidation type="list" allowBlank="1" showInputMessage="1" showErrorMessage="1" sqref="F2:F121" xr:uid="{11F600AB-247C-4D47-A09B-8C638FB967EE}">
      <formula1>$J$23:$J$27</formula1>
    </dataValidation>
    <dataValidation type="list" allowBlank="1" showInputMessage="1" showErrorMessage="1" sqref="H2:H121" xr:uid="{16713CB6-4FDA-4D14-A781-CE698631D9C2}">
      <formula1>$J$31:$J$35</formula1>
    </dataValidation>
    <dataValidation type="list" allowBlank="1" showInputMessage="1" showErrorMessage="1" sqref="E2:E121" xr:uid="{8D296292-D744-4AC3-9B7A-20E9DED5DDF6}">
      <formula1>$P$7:$P$9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193B7-293E-4B8E-A9F5-0DD57EAA528B}">
  <sheetPr codeName="Sheet5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45301</v>
      </c>
      <c r="B2" s="48" t="s">
        <v>68</v>
      </c>
      <c r="C2" s="48" t="s">
        <v>98</v>
      </c>
      <c r="D2" s="48" t="s">
        <v>177</v>
      </c>
      <c r="E2" s="48" t="s">
        <v>51</v>
      </c>
      <c r="F2" s="48" t="s">
        <v>256</v>
      </c>
      <c r="G2" s="48"/>
      <c r="H2" s="49" t="s">
        <v>257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1</v>
      </c>
      <c r="L4" s="26">
        <f>IF(J4&lt;&gt;0, K4/J4, "-")</f>
        <v>1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1</v>
      </c>
      <c r="L8" s="3">
        <f>COUNTIFS($A$1:$A$100,"&gt;=2024/1/1",$A$1:$A$100,"&lt;=2024/1/31",$E$1:$E$100,"×")</f>
        <v>1</v>
      </c>
      <c r="M8" s="71">
        <f>IFERROR(L8/K8, "-")</f>
        <v>1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>
        <f t="shared" ref="M24:M27" si="1">IFERROR(L24/K$4, "-")</f>
        <v>0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1</v>
      </c>
      <c r="M25" s="67">
        <f t="shared" si="1"/>
        <v>1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>
        <f t="shared" si="1"/>
        <v>0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1</v>
      </c>
      <c r="L34" s="27">
        <f>IFERROR(K34/J$4, "-")</f>
        <v>1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2B4C7F1A-1B16-4EDD-97DB-81E8A00174D9}">
      <formula1>$P$7:$P$9</formula1>
    </dataValidation>
    <dataValidation type="list" allowBlank="1" showInputMessage="1" showErrorMessage="1" sqref="H2:H121" xr:uid="{5ABBA9B5-D556-48A0-AB28-88E15DF585A7}">
      <formula1>$J$31:$J$35</formula1>
    </dataValidation>
    <dataValidation type="list" allowBlank="1" showInputMessage="1" showErrorMessage="1" sqref="F2:F121" xr:uid="{28A12490-3220-478D-AFD0-38DF9CCB346E}">
      <formula1>$J$23:$J$27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6E8CB-A09A-442F-9F49-16B1CDAFF240}">
  <sheetPr codeName="Sheet6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45307</v>
      </c>
      <c r="B2" s="48" t="s">
        <v>69</v>
      </c>
      <c r="C2" s="48" t="s">
        <v>99</v>
      </c>
      <c r="D2" s="48" t="s">
        <v>178</v>
      </c>
      <c r="E2" s="48" t="s">
        <v>52</v>
      </c>
      <c r="F2" s="48"/>
      <c r="G2" s="48"/>
      <c r="H2" s="49" t="s">
        <v>258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1</v>
      </c>
      <c r="L8" s="3">
        <f>COUNTIFS($A$1:$A$100,"&gt;=2024/1/1",$A$1:$A$100,"&lt;=2024/1/31",$E$1:$E$100,"×")</f>
        <v>0</v>
      </c>
      <c r="M8" s="71">
        <f>IFERROR(L8/K8, "-")</f>
        <v>0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4BD6980A-B133-4479-BC02-E2590FA61B1F}">
      <formula1>$P$7:$P$9</formula1>
    </dataValidation>
    <dataValidation type="list" allowBlank="1" showInputMessage="1" showErrorMessage="1" sqref="H2:H121" xr:uid="{7BD6F4B1-5446-466B-9327-13A47292EE1D}">
      <formula1>$J$31:$J$35</formula1>
    </dataValidation>
    <dataValidation type="list" allowBlank="1" showInputMessage="1" showErrorMessage="1" sqref="F2:F121" xr:uid="{F8C8837A-CE4A-4D9D-9F87-E26A81423A77}">
      <formula1>$J$23:$J$27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740F3-264F-429B-8DAB-594955720327}">
  <sheetPr codeName="Sheet7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45310</v>
      </c>
      <c r="B2" s="48" t="s">
        <v>70</v>
      </c>
      <c r="C2" s="48" t="s">
        <v>100</v>
      </c>
      <c r="D2" s="48" t="s">
        <v>179</v>
      </c>
      <c r="E2" s="48" t="s">
        <v>51</v>
      </c>
      <c r="F2" s="48" t="s">
        <v>259</v>
      </c>
      <c r="G2" s="48"/>
      <c r="H2" s="49" t="s">
        <v>260</v>
      </c>
      <c r="J2" s="61" t="s">
        <v>33</v>
      </c>
      <c r="K2" s="62"/>
      <c r="L2" s="63"/>
    </row>
    <row r="3" spans="1:18" x14ac:dyDescent="0.5">
      <c r="A3" s="53">
        <v>45320</v>
      </c>
      <c r="B3" s="1" t="s">
        <v>70</v>
      </c>
      <c r="C3" s="1" t="s">
        <v>102</v>
      </c>
      <c r="D3" s="1" t="s">
        <v>181</v>
      </c>
      <c r="E3" s="1" t="s">
        <v>51</v>
      </c>
      <c r="F3" s="1" t="s">
        <v>256</v>
      </c>
      <c r="G3" s="1"/>
      <c r="H3" s="4" t="s">
        <v>260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45352</v>
      </c>
      <c r="B4" s="1" t="s">
        <v>70</v>
      </c>
      <c r="C4" s="1" t="s">
        <v>107</v>
      </c>
      <c r="D4" s="1" t="s">
        <v>186</v>
      </c>
      <c r="E4" s="1" t="s">
        <v>52</v>
      </c>
      <c r="F4" s="1"/>
      <c r="G4" s="1"/>
      <c r="H4" s="4" t="s">
        <v>260</v>
      </c>
      <c r="J4" s="6">
        <f>COUNTA(A2:A120)</f>
        <v>22</v>
      </c>
      <c r="K4" s="7">
        <f>COUNTIF(E2:E120,"*×*")</f>
        <v>3</v>
      </c>
      <c r="L4" s="26">
        <f>IF(J4&lt;&gt;0, K4/J4, "-")</f>
        <v>0.13636363636363635</v>
      </c>
    </row>
    <row r="5" spans="1:18" ht="18.3" thickBot="1" x14ac:dyDescent="0.55000000000000004">
      <c r="A5" s="53">
        <v>45394</v>
      </c>
      <c r="B5" s="1" t="s">
        <v>70</v>
      </c>
      <c r="C5" s="1" t="s">
        <v>118</v>
      </c>
      <c r="D5" s="1" t="s">
        <v>197</v>
      </c>
      <c r="E5" s="1" t="s">
        <v>52</v>
      </c>
      <c r="F5" s="1"/>
      <c r="G5" s="1"/>
      <c r="H5" s="4" t="s">
        <v>258</v>
      </c>
    </row>
    <row r="6" spans="1:18" x14ac:dyDescent="0.5">
      <c r="A6" s="53">
        <v>45394</v>
      </c>
      <c r="B6" s="1" t="s">
        <v>70</v>
      </c>
      <c r="C6" s="1" t="s">
        <v>119</v>
      </c>
      <c r="D6" s="1" t="s">
        <v>198</v>
      </c>
      <c r="E6" s="1" t="s">
        <v>52</v>
      </c>
      <c r="F6" s="1"/>
      <c r="G6" s="1"/>
      <c r="H6" s="4" t="s">
        <v>260</v>
      </c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>
        <v>45404</v>
      </c>
      <c r="B7" s="1" t="s">
        <v>70</v>
      </c>
      <c r="C7" s="1" t="s">
        <v>121</v>
      </c>
      <c r="D7" s="1" t="s">
        <v>200</v>
      </c>
      <c r="E7" s="1" t="s">
        <v>52</v>
      </c>
      <c r="F7" s="1"/>
      <c r="G7" s="1"/>
      <c r="H7" s="4" t="s">
        <v>258</v>
      </c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>
        <v>45407</v>
      </c>
      <c r="B8" s="1" t="s">
        <v>70</v>
      </c>
      <c r="C8" s="1" t="s">
        <v>122</v>
      </c>
      <c r="D8" s="1" t="s">
        <v>201</v>
      </c>
      <c r="E8" s="1" t="s">
        <v>52</v>
      </c>
      <c r="F8" s="1"/>
      <c r="G8" s="1"/>
      <c r="H8" s="4" t="s">
        <v>258</v>
      </c>
      <c r="J8" s="12" t="s">
        <v>11</v>
      </c>
      <c r="K8" s="3">
        <f>COUNTIFS($A$1:$A$100,"&gt;=2024/1/1",$A$1:$A$100,"&lt;=2024/1/31")</f>
        <v>2</v>
      </c>
      <c r="L8" s="3">
        <f>COUNTIFS($A$1:$A$100,"&gt;=2024/1/1",$A$1:$A$100,"&lt;=2024/1/31",$E$1:$E$100,"×")</f>
        <v>2</v>
      </c>
      <c r="M8" s="71">
        <f>IFERROR(L8/K8, "-")</f>
        <v>1</v>
      </c>
      <c r="N8" s="72"/>
      <c r="P8" s="1" t="s">
        <v>9</v>
      </c>
      <c r="Q8" s="1" t="s">
        <v>55</v>
      </c>
      <c r="R8" s="1"/>
    </row>
    <row r="9" spans="1:18" x14ac:dyDescent="0.5">
      <c r="A9" s="53">
        <v>45408</v>
      </c>
      <c r="B9" s="1" t="s">
        <v>70</v>
      </c>
      <c r="C9" s="1" t="s">
        <v>123</v>
      </c>
      <c r="D9" s="1" t="s">
        <v>202</v>
      </c>
      <c r="E9" s="1" t="s">
        <v>52</v>
      </c>
      <c r="F9" s="1"/>
      <c r="G9" s="1"/>
      <c r="H9" s="4" t="s">
        <v>260</v>
      </c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3">
        <v>45425</v>
      </c>
      <c r="B10" s="1" t="s">
        <v>70</v>
      </c>
      <c r="C10" s="1" t="s">
        <v>125</v>
      </c>
      <c r="D10" s="1" t="s">
        <v>204</v>
      </c>
      <c r="E10" s="1" t="s">
        <v>52</v>
      </c>
      <c r="F10" s="1"/>
      <c r="G10" s="1"/>
      <c r="H10" s="4" t="s">
        <v>260</v>
      </c>
      <c r="J10" s="5" t="s">
        <v>13</v>
      </c>
      <c r="K10" s="3">
        <f>COUNTIFS($A$1:$A$100,"&gt;=2024/3/1",$A$1:$A$100,"&lt;=2024/3/31")</f>
        <v>1</v>
      </c>
      <c r="L10" s="1">
        <f>COUNTIFS($A$1:$A$100,"&gt;=2024/3/1",$A$1:$A$100,"&lt;=2024/3/31",$E$1:$E$100,"×")</f>
        <v>0</v>
      </c>
      <c r="M10" s="73">
        <f t="shared" si="0"/>
        <v>0</v>
      </c>
      <c r="N10" s="74"/>
    </row>
    <row r="11" spans="1:18" x14ac:dyDescent="0.5">
      <c r="A11" s="53">
        <v>45440</v>
      </c>
      <c r="B11" s="1" t="s">
        <v>70</v>
      </c>
      <c r="C11" s="1" t="s">
        <v>130</v>
      </c>
      <c r="D11" s="1" t="s">
        <v>209</v>
      </c>
      <c r="E11" s="1" t="s">
        <v>52</v>
      </c>
      <c r="F11" s="1"/>
      <c r="G11" s="1"/>
      <c r="H11" s="4" t="s">
        <v>258</v>
      </c>
      <c r="J11" s="5" t="s">
        <v>14</v>
      </c>
      <c r="K11" s="3">
        <f>COUNTIFS($A$1:$A$100,"&gt;=2024/4/1",$A$1:$A$100,"&lt;=2024/4/30")</f>
        <v>5</v>
      </c>
      <c r="L11" s="1">
        <f>COUNTIFS($A$1:$A$100,"&gt;=2024/4/1",$A$1:$A$100,"&lt;=2024/4/30",$E$1:$E$100,"×")</f>
        <v>0</v>
      </c>
      <c r="M11" s="73">
        <f t="shared" si="0"/>
        <v>0</v>
      </c>
      <c r="N11" s="74"/>
    </row>
    <row r="12" spans="1:18" x14ac:dyDescent="0.5">
      <c r="A12" s="57">
        <v>45482</v>
      </c>
      <c r="B12" s="1" t="s">
        <v>70</v>
      </c>
      <c r="C12" s="3" t="s">
        <v>136</v>
      </c>
      <c r="D12" s="3" t="s">
        <v>215</v>
      </c>
      <c r="E12" s="1" t="s">
        <v>52</v>
      </c>
      <c r="F12" s="3"/>
      <c r="G12" s="3"/>
      <c r="H12" s="13" t="s">
        <v>258</v>
      </c>
      <c r="J12" s="5" t="s">
        <v>15</v>
      </c>
      <c r="K12" s="1">
        <f>COUNTIFS($A$1:$A$100,"&gt;=2024/5/1",$A$1:$A$100,"&lt;=2024/5/31")</f>
        <v>2</v>
      </c>
      <c r="L12" s="1">
        <f>COUNTIFS($A$1:$A$100,"&gt;=2024/5/1",$A$1:$A$100,"&lt;=2024/5/31",$E$1:$E$100,"×")</f>
        <v>0</v>
      </c>
      <c r="M12" s="73">
        <f t="shared" si="0"/>
        <v>0</v>
      </c>
      <c r="N12" s="74"/>
    </row>
    <row r="13" spans="1:18" x14ac:dyDescent="0.5">
      <c r="A13" s="50">
        <v>45499</v>
      </c>
      <c r="B13" s="1" t="s">
        <v>70</v>
      </c>
      <c r="C13" s="1" t="s">
        <v>144</v>
      </c>
      <c r="D13" s="1" t="s">
        <v>223</v>
      </c>
      <c r="E13" s="1" t="s">
        <v>52</v>
      </c>
      <c r="F13" s="1"/>
      <c r="G13" s="1"/>
      <c r="H13" s="4" t="s">
        <v>260</v>
      </c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50">
        <v>45509</v>
      </c>
      <c r="B14" s="1" t="s">
        <v>70</v>
      </c>
      <c r="C14" s="1" t="s">
        <v>145</v>
      </c>
      <c r="D14" s="1" t="s">
        <v>224</v>
      </c>
      <c r="E14" s="1" t="s">
        <v>52</v>
      </c>
      <c r="F14" s="1"/>
      <c r="G14" s="1"/>
      <c r="H14" s="4" t="s">
        <v>260</v>
      </c>
      <c r="J14" s="5" t="s">
        <v>17</v>
      </c>
      <c r="K14" s="1">
        <f>COUNTIFS($A$1:$A$100,"&gt;=2024/7/1",$A$1:$A$100,"&lt;=2024/7/31")</f>
        <v>2</v>
      </c>
      <c r="L14" s="1">
        <f>COUNTIFS($A$1:$A$100,"&gt;=2024/7/1",$A$1:$A$100,"&lt;=2024/7/31",$E$1:$E$100,"×")</f>
        <v>0</v>
      </c>
      <c r="M14" s="73">
        <f t="shared" si="0"/>
        <v>0</v>
      </c>
      <c r="N14" s="74"/>
    </row>
    <row r="15" spans="1:18" x14ac:dyDescent="0.5">
      <c r="A15" s="50">
        <v>45518</v>
      </c>
      <c r="B15" s="1" t="s">
        <v>70</v>
      </c>
      <c r="C15" s="1" t="s">
        <v>148</v>
      </c>
      <c r="D15" s="1" t="s">
        <v>227</v>
      </c>
      <c r="E15" s="1" t="s">
        <v>52</v>
      </c>
      <c r="F15" s="1"/>
      <c r="G15" s="1"/>
      <c r="H15" s="4" t="s">
        <v>260</v>
      </c>
      <c r="J15" s="5" t="s">
        <v>18</v>
      </c>
      <c r="K15" s="1">
        <f>COUNTIFS($A$1:$A$100,"&gt;=2024/8/1",$A$1:$A$100,"&lt;=2024/8/31")</f>
        <v>3</v>
      </c>
      <c r="L15" s="1">
        <f>COUNTIFS($A$1:$A$100,"&gt;=2024/8/1",$A$1:$A$100,"&lt;=2024/8/31",$E$1:$E$100,"×")</f>
        <v>0</v>
      </c>
      <c r="M15" s="73">
        <f t="shared" si="0"/>
        <v>0</v>
      </c>
      <c r="N15" s="74"/>
    </row>
    <row r="16" spans="1:18" x14ac:dyDescent="0.5">
      <c r="A16" s="50">
        <v>45531</v>
      </c>
      <c r="B16" s="1" t="s">
        <v>70</v>
      </c>
      <c r="C16" s="1" t="s">
        <v>149</v>
      </c>
      <c r="D16" s="1" t="s">
        <v>228</v>
      </c>
      <c r="E16" s="1" t="s">
        <v>52</v>
      </c>
      <c r="F16" s="1"/>
      <c r="G16" s="1"/>
      <c r="H16" s="4" t="s">
        <v>258</v>
      </c>
      <c r="J16" s="5" t="s">
        <v>19</v>
      </c>
      <c r="K16" s="1">
        <f>COUNTIFS($A$1:$A$100,"&gt;=2024/9/1",$A$1:$A$100,"&lt;=2024/9/30")</f>
        <v>1</v>
      </c>
      <c r="L16" s="1">
        <f>COUNTIFS($A$1:$A$100,"&gt;=2024/9/1",$A$1:$A$100,"&lt;=2024/9/30",$E$1:$E$100,"×")</f>
        <v>0</v>
      </c>
      <c r="M16" s="73">
        <f t="shared" si="0"/>
        <v>0</v>
      </c>
      <c r="N16" s="74"/>
    </row>
    <row r="17" spans="1:14" x14ac:dyDescent="0.5">
      <c r="A17" s="50">
        <v>45548</v>
      </c>
      <c r="B17" s="1" t="s">
        <v>70</v>
      </c>
      <c r="C17" s="1" t="s">
        <v>154</v>
      </c>
      <c r="D17" s="1" t="s">
        <v>233</v>
      </c>
      <c r="E17" s="1" t="s">
        <v>52</v>
      </c>
      <c r="F17" s="1"/>
      <c r="G17" s="1"/>
      <c r="H17" s="4" t="s">
        <v>260</v>
      </c>
      <c r="J17" s="5" t="s">
        <v>20</v>
      </c>
      <c r="K17" s="1">
        <f>COUNTIFS($A$1:$A$100,"&gt;=2024/10/1",$A$1:$A$100,"&lt;=2024/10/31")</f>
        <v>2</v>
      </c>
      <c r="L17" s="1">
        <f>COUNTIFS($A$1:$A$100,"&gt;=2024/9/1",$A$1:$A$100,"&lt;=2024/9/30",$E$1:$E$100,"×")</f>
        <v>0</v>
      </c>
      <c r="M17" s="73">
        <f t="shared" si="0"/>
        <v>0</v>
      </c>
      <c r="N17" s="74"/>
    </row>
    <row r="18" spans="1:14" x14ac:dyDescent="0.5">
      <c r="A18" s="50">
        <v>45575</v>
      </c>
      <c r="B18" s="1" t="s">
        <v>70</v>
      </c>
      <c r="C18" s="1" t="s">
        <v>157</v>
      </c>
      <c r="D18" s="1" t="s">
        <v>236</v>
      </c>
      <c r="E18" s="1" t="s">
        <v>67</v>
      </c>
      <c r="F18" s="1"/>
      <c r="G18" s="1"/>
      <c r="H18" s="4" t="s">
        <v>260</v>
      </c>
      <c r="J18" s="5" t="s">
        <v>21</v>
      </c>
      <c r="K18" s="1">
        <f>COUNTIFS($A$1:$A$100,"&gt;=2024/11/1",$A$1:$A$100,"&lt;=2024/11/30")</f>
        <v>2</v>
      </c>
      <c r="L18" s="1">
        <f>COUNTIFS($A$1:$A$100,"&gt;=2024/11/1",$A$1:$A$100,"&lt;=2024/11/30",$E$1:$E$100,"×")</f>
        <v>1</v>
      </c>
      <c r="M18" s="73">
        <f t="shared" si="0"/>
        <v>0.5</v>
      </c>
      <c r="N18" s="74"/>
    </row>
    <row r="19" spans="1:14" ht="18.3" thickBot="1" x14ac:dyDescent="0.55000000000000004">
      <c r="A19" s="50">
        <v>45595</v>
      </c>
      <c r="B19" s="1" t="s">
        <v>70</v>
      </c>
      <c r="C19" s="1" t="s">
        <v>163</v>
      </c>
      <c r="D19" s="1" t="s">
        <v>242</v>
      </c>
      <c r="E19" s="1" t="s">
        <v>52</v>
      </c>
      <c r="F19" s="1"/>
      <c r="G19" s="1"/>
      <c r="H19" s="4" t="s">
        <v>260</v>
      </c>
      <c r="J19" s="6" t="s">
        <v>22</v>
      </c>
      <c r="K19" s="7">
        <f>COUNTIFS($A$1:$A$100,"&gt;=2024/12/1",$A$1:$A$100,"&lt;=2024/12/31")</f>
        <v>2</v>
      </c>
      <c r="L19" s="7">
        <f>COUNTIFS($A$1:$A$100,"&gt;=2024/12/1",$A$1:$A$100,"&lt;=2024/12/31",$E$1:$E$100,"×")</f>
        <v>0</v>
      </c>
      <c r="M19" s="75">
        <f t="shared" si="0"/>
        <v>0</v>
      </c>
      <c r="N19" s="76"/>
    </row>
    <row r="20" spans="1:14" ht="18.3" thickBot="1" x14ac:dyDescent="0.55000000000000004">
      <c r="A20" s="50">
        <v>45610</v>
      </c>
      <c r="B20" s="1" t="s">
        <v>70</v>
      </c>
      <c r="C20" s="1" t="s">
        <v>165</v>
      </c>
      <c r="D20" s="1" t="s">
        <v>244</v>
      </c>
      <c r="E20" s="1" t="s">
        <v>51</v>
      </c>
      <c r="F20" s="1"/>
      <c r="G20" s="1"/>
      <c r="H20" s="4" t="s">
        <v>258</v>
      </c>
    </row>
    <row r="21" spans="1:14" x14ac:dyDescent="0.5">
      <c r="A21" s="50">
        <v>45623</v>
      </c>
      <c r="B21" s="1" t="s">
        <v>70</v>
      </c>
      <c r="C21" s="1" t="s">
        <v>167</v>
      </c>
      <c r="D21" s="1" t="s">
        <v>246</v>
      </c>
      <c r="E21" s="1" t="s">
        <v>52</v>
      </c>
      <c r="F21" s="1"/>
      <c r="G21" s="1"/>
      <c r="H21" s="4" t="s">
        <v>260</v>
      </c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50">
        <v>45632</v>
      </c>
      <c r="B22" s="1" t="s">
        <v>70</v>
      </c>
      <c r="C22" s="1" t="s">
        <v>169</v>
      </c>
      <c r="D22" s="1" t="s">
        <v>248</v>
      </c>
      <c r="E22" s="1" t="s">
        <v>52</v>
      </c>
      <c r="F22" s="1"/>
      <c r="G22" s="1"/>
      <c r="H22" s="4" t="s">
        <v>258</v>
      </c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50">
        <v>45649</v>
      </c>
      <c r="B23" s="1" t="s">
        <v>70</v>
      </c>
      <c r="C23" s="1" t="s">
        <v>175</v>
      </c>
      <c r="D23" s="1" t="s">
        <v>254</v>
      </c>
      <c r="E23" s="1" t="s">
        <v>52</v>
      </c>
      <c r="F23" s="1"/>
      <c r="G23" s="1"/>
      <c r="H23" s="4" t="s">
        <v>260</v>
      </c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1</v>
      </c>
      <c r="M24" s="67">
        <f t="shared" ref="M24:M27" si="1">IFERROR(L24/K$4, "-")</f>
        <v>0.33333333333333331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1</v>
      </c>
      <c r="M25" s="67">
        <f t="shared" si="1"/>
        <v>0.33333333333333331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>
        <f t="shared" si="1"/>
        <v>0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14</v>
      </c>
      <c r="L31" s="27">
        <f>IFERROR(K31/J$4, "-")</f>
        <v>0.63636363636363635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8</v>
      </c>
      <c r="L32" s="27">
        <f>IFERROR(K32/J$4, "-")</f>
        <v>0.36363636363636365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CA3AED85-01F9-4907-BD50-C3CE69E0E0D3}">
      <formula1>$P$7:$P$9</formula1>
    </dataValidation>
    <dataValidation type="list" allowBlank="1" showInputMessage="1" showErrorMessage="1" sqref="H2:H121" xr:uid="{70563C64-C492-4188-B8C1-E2D807E85CF4}">
      <formula1>$J$31:$J$35</formula1>
    </dataValidation>
    <dataValidation type="list" allowBlank="1" showInputMessage="1" showErrorMessage="1" sqref="F2:F121" xr:uid="{421FE51E-0C71-4337-BDB9-65DBF1F78241}">
      <formula1>$J$23:$J$27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47146-4A9E-433D-98DB-24BCB49B9488}">
  <sheetPr codeName="Sheet8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45315</v>
      </c>
      <c r="B2" s="48" t="s">
        <v>71</v>
      </c>
      <c r="C2" s="48" t="s">
        <v>101</v>
      </c>
      <c r="D2" s="48" t="s">
        <v>180</v>
      </c>
      <c r="E2" s="48" t="s">
        <v>52</v>
      </c>
      <c r="F2" s="48"/>
      <c r="G2" s="48"/>
      <c r="H2" s="49" t="s">
        <v>260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1</v>
      </c>
      <c r="L8" s="3">
        <f>COUNTIFS($A$1:$A$100,"&gt;=2024/1/1",$A$1:$A$100,"&lt;=2024/1/31",$E$1:$E$100,"×")</f>
        <v>0</v>
      </c>
      <c r="M8" s="71">
        <f>IFERROR(L8/K8, "-")</f>
        <v>0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390DC469-60D8-4AFB-850A-6F7226E3E23A}">
      <formula1>$P$7:$P$9</formula1>
    </dataValidation>
    <dataValidation type="list" allowBlank="1" showInputMessage="1" showErrorMessage="1" sqref="H2:H121" xr:uid="{E278211A-E9C5-4DFC-8897-60F9B4D25839}">
      <formula1>$J$31:$J$35</formula1>
    </dataValidation>
    <dataValidation type="list" allowBlank="1" showInputMessage="1" showErrorMessage="1" sqref="F2:F121" xr:uid="{A5908E97-998E-4AE3-A534-26CFAA001032}">
      <formula1>$J$23:$J$27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60032-A3CF-4DD3-8BB2-98F1E9F4A7F7}">
  <sheetPr codeName="Sheet9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45321</v>
      </c>
      <c r="B2" s="48" t="s">
        <v>72</v>
      </c>
      <c r="C2" s="48" t="s">
        <v>103</v>
      </c>
      <c r="D2" s="48" t="s">
        <v>182</v>
      </c>
      <c r="E2" s="48" t="s">
        <v>52</v>
      </c>
      <c r="F2" s="48"/>
      <c r="G2" s="48"/>
      <c r="H2" s="49" t="s">
        <v>258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1</v>
      </c>
      <c r="L8" s="3">
        <f>COUNTIFS($A$1:$A$100,"&gt;=2024/1/1",$A$1:$A$100,"&lt;=2024/1/31",$E$1:$E$100,"×")</f>
        <v>0</v>
      </c>
      <c r="M8" s="71">
        <f>IFERROR(L8/K8, "-")</f>
        <v>0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ABFFD152-FDD3-4755-A5B6-4CC99B605887}">
      <formula1>$P$7:$P$9</formula1>
    </dataValidation>
    <dataValidation type="list" allowBlank="1" showInputMessage="1" showErrorMessage="1" sqref="H2:H121" xr:uid="{9BCA2215-72A5-4668-B783-222B0E7A67CB}">
      <formula1>$J$31:$J$35</formula1>
    </dataValidation>
    <dataValidation type="list" allowBlank="1" showInputMessage="1" showErrorMessage="1" sqref="F2:F121" xr:uid="{D32D9B23-C3DB-4396-BF38-36738DBFB3DC}">
      <formula1>$J$23:$J$27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ED1C7-263E-4F69-88B2-027F6CFF2893}">
  <sheetPr codeName="Sheet10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45324</v>
      </c>
      <c r="B2" s="48" t="s">
        <v>73</v>
      </c>
      <c r="C2" s="48" t="s">
        <v>104</v>
      </c>
      <c r="D2" s="48" t="s">
        <v>183</v>
      </c>
      <c r="E2" s="48" t="s">
        <v>52</v>
      </c>
      <c r="F2" s="48"/>
      <c r="G2" s="48"/>
      <c r="H2" s="49" t="s">
        <v>258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1</v>
      </c>
      <c r="L9" s="1">
        <f>COUNTIFS($A$1:$A$100,"&gt;=2024/2/1",$A$1:$A$100,"&lt;=2024/2/28",$E$1:$E$100,"×")</f>
        <v>0</v>
      </c>
      <c r="M9" s="73">
        <f t="shared" ref="M9:M19" si="0">IFERROR(L9/K9, "-")</f>
        <v>0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54AD2D7C-3A57-47F6-BC59-1DF0147460FF}">
      <formula1>$P$7:$P$9</formula1>
    </dataValidation>
    <dataValidation type="list" allowBlank="1" showInputMessage="1" showErrorMessage="1" sqref="H2:H121" xr:uid="{5ED07794-016E-481D-954D-38F46058141E}">
      <formula1>$J$31:$J$35</formula1>
    </dataValidation>
    <dataValidation type="list" allowBlank="1" showInputMessage="1" showErrorMessage="1" sqref="F2:F121" xr:uid="{F0B71334-8370-40EB-AB32-A017FB3B5A23}">
      <formula1>$J$23:$J$27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FEE5F-5BD4-437D-BD0D-64081D31EEAD}">
  <sheetPr codeName="Sheet11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45342</v>
      </c>
      <c r="B2" s="48" t="s">
        <v>74</v>
      </c>
      <c r="C2" s="48" t="s">
        <v>105</v>
      </c>
      <c r="D2" s="48" t="s">
        <v>184</v>
      </c>
      <c r="E2" s="48" t="s">
        <v>52</v>
      </c>
      <c r="F2" s="48"/>
      <c r="G2" s="48"/>
      <c r="H2" s="49" t="s">
        <v>258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1</v>
      </c>
      <c r="L9" s="1">
        <f>COUNTIFS($A$1:$A$100,"&gt;=2024/2/1",$A$1:$A$100,"&lt;=2024/2/28",$E$1:$E$100,"×")</f>
        <v>0</v>
      </c>
      <c r="M9" s="73">
        <f t="shared" ref="M9:M19" si="0">IFERROR(L9/K9, "-")</f>
        <v>0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5F330EF6-C9A6-4EFA-AE4C-0F5B4794F5C8}">
      <formula1>$P$7:$P$9</formula1>
    </dataValidation>
    <dataValidation type="list" allowBlank="1" showInputMessage="1" showErrorMessage="1" sqref="H2:H121" xr:uid="{DA80E45F-2BE2-4895-A3EE-0651CC4D5056}">
      <formula1>$J$31:$J$35</formula1>
    </dataValidation>
    <dataValidation type="list" allowBlank="1" showInputMessage="1" showErrorMessage="1" sqref="F2:F121" xr:uid="{B3C24554-96B1-4CF5-8436-DFFA143F1375}">
      <formula1>$J$23:$J$27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7397A-3F2B-410B-9902-A6DE45339613}">
  <sheetPr codeName="Sheet12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45349</v>
      </c>
      <c r="B2" s="48" t="s">
        <v>75</v>
      </c>
      <c r="C2" s="48" t="s">
        <v>106</v>
      </c>
      <c r="D2" s="48" t="s">
        <v>185</v>
      </c>
      <c r="E2" s="48" t="s">
        <v>52</v>
      </c>
      <c r="F2" s="48"/>
      <c r="G2" s="48"/>
      <c r="H2" s="49" t="s">
        <v>260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1</v>
      </c>
      <c r="L9" s="1">
        <f>COUNTIFS($A$1:$A$100,"&gt;=2024/2/1",$A$1:$A$100,"&lt;=2024/2/28",$E$1:$E$100,"×")</f>
        <v>0</v>
      </c>
      <c r="M9" s="73">
        <f t="shared" ref="M9:M19" si="0">IFERROR(L9/K9, "-")</f>
        <v>0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8514272B-AF10-4092-A1E8-0AED4F27FC44}">
      <formula1>$P$7:$P$9</formula1>
    </dataValidation>
    <dataValidation type="list" allowBlank="1" showInputMessage="1" showErrorMessage="1" sqref="H2:H121" xr:uid="{F27A4E58-95CC-4B6B-8B95-46B4FB24908C}">
      <formula1>$J$31:$J$35</formula1>
    </dataValidation>
    <dataValidation type="list" allowBlank="1" showInputMessage="1" showErrorMessage="1" sqref="F2:F121" xr:uid="{323768B4-035E-4734-B479-B010A6CAA667}">
      <formula1>$J$23:$J$27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6974-51FC-4518-B751-141B5BC453C6}">
  <sheetPr codeName="Sheet13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45356</v>
      </c>
      <c r="B2" s="48" t="s">
        <v>76</v>
      </c>
      <c r="C2" s="48" t="s">
        <v>108</v>
      </c>
      <c r="D2" s="48" t="s">
        <v>187</v>
      </c>
      <c r="E2" s="48" t="s">
        <v>52</v>
      </c>
      <c r="F2" s="48"/>
      <c r="G2" s="48"/>
      <c r="H2" s="49" t="s">
        <v>260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1</v>
      </c>
      <c r="L10" s="1">
        <f>COUNTIFS($A$1:$A$100,"&gt;=2024/3/1",$A$1:$A$100,"&lt;=2024/3/31",$E$1:$E$100,"×")</f>
        <v>0</v>
      </c>
      <c r="M10" s="73">
        <f t="shared" si="0"/>
        <v>0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C372C4BE-12F3-4B2F-B7BA-E333D0091CF8}">
      <formula1>$P$7:$P$9</formula1>
    </dataValidation>
    <dataValidation type="list" allowBlank="1" showInputMessage="1" showErrorMessage="1" sqref="H2:H121" xr:uid="{02EEF447-5B5C-433A-AB0D-8FF6D034735C}">
      <formula1>$J$31:$J$35</formula1>
    </dataValidation>
    <dataValidation type="list" allowBlank="1" showInputMessage="1" showErrorMessage="1" sqref="F2:F121" xr:uid="{4D920504-4DFF-4536-B391-4D7B1B2551EB}">
      <formula1>$J$23:$J$27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DCCA5-11A3-485C-AA90-13AEE6AFF6F8}">
  <sheetPr codeName="Sheet14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45357</v>
      </c>
      <c r="B2" s="48" t="s">
        <v>77</v>
      </c>
      <c r="C2" s="48" t="s">
        <v>109</v>
      </c>
      <c r="D2" s="48" t="s">
        <v>188</v>
      </c>
      <c r="E2" s="48" t="s">
        <v>51</v>
      </c>
      <c r="F2" s="48" t="s">
        <v>261</v>
      </c>
      <c r="G2" s="48"/>
      <c r="H2" s="49" t="s">
        <v>258</v>
      </c>
      <c r="J2" s="61" t="s">
        <v>33</v>
      </c>
      <c r="K2" s="62"/>
      <c r="L2" s="63"/>
    </row>
    <row r="3" spans="1:18" x14ac:dyDescent="0.5">
      <c r="A3" s="53">
        <v>45360</v>
      </c>
      <c r="B3" s="1" t="s">
        <v>77</v>
      </c>
      <c r="C3" s="1" t="s">
        <v>110</v>
      </c>
      <c r="D3" s="1" t="s">
        <v>189</v>
      </c>
      <c r="E3" s="1" t="s">
        <v>52</v>
      </c>
      <c r="F3" s="1"/>
      <c r="G3" s="1"/>
      <c r="H3" s="4" t="s">
        <v>260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45484</v>
      </c>
      <c r="B4" s="1" t="s">
        <v>77</v>
      </c>
      <c r="C4" s="1" t="s">
        <v>137</v>
      </c>
      <c r="D4" s="1" t="s">
        <v>216</v>
      </c>
      <c r="E4" s="1" t="s">
        <v>52</v>
      </c>
      <c r="F4" s="1"/>
      <c r="G4" s="1"/>
      <c r="H4" s="4" t="s">
        <v>258</v>
      </c>
      <c r="J4" s="6">
        <f>COUNTA(A2:A120)</f>
        <v>4</v>
      </c>
      <c r="K4" s="7">
        <f>COUNTIF(E2:E120,"*×*")</f>
        <v>1</v>
      </c>
      <c r="L4" s="26">
        <f>IF(J4&lt;&gt;0, K4/J4, "-")</f>
        <v>0.25</v>
      </c>
    </row>
    <row r="5" spans="1:18" ht="18.3" thickBot="1" x14ac:dyDescent="0.55000000000000004">
      <c r="A5" s="53">
        <v>45581</v>
      </c>
      <c r="B5" s="1" t="s">
        <v>77</v>
      </c>
      <c r="C5" s="1" t="s">
        <v>160</v>
      </c>
      <c r="D5" s="1" t="s">
        <v>239</v>
      </c>
      <c r="E5" s="1" t="s">
        <v>52</v>
      </c>
      <c r="F5" s="1"/>
      <c r="G5" s="1"/>
      <c r="H5" s="4" t="s">
        <v>260</v>
      </c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2</v>
      </c>
      <c r="L10" s="1">
        <f>COUNTIFS($A$1:$A$100,"&gt;=2024/3/1",$A$1:$A$100,"&lt;=2024/3/31",$E$1:$E$100,"×")</f>
        <v>1</v>
      </c>
      <c r="M10" s="73">
        <f t="shared" si="0"/>
        <v>0.5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1</v>
      </c>
      <c r="L14" s="1">
        <f>COUNTIFS($A$1:$A$100,"&gt;=2024/7/1",$A$1:$A$100,"&lt;=2024/7/31",$E$1:$E$100,"×")</f>
        <v>0</v>
      </c>
      <c r="M14" s="73">
        <f t="shared" si="0"/>
        <v>0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1</v>
      </c>
      <c r="L17" s="1">
        <f>COUNTIFS($A$1:$A$100,"&gt;=2024/9/1",$A$1:$A$100,"&lt;=2024/9/30",$E$1:$E$100,"×")</f>
        <v>0</v>
      </c>
      <c r="M17" s="73">
        <f t="shared" si="0"/>
        <v>0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>
        <f t="shared" ref="M24:M27" si="1">IFERROR(L24/K$4, "-")</f>
        <v>0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>
        <f t="shared" si="1"/>
        <v>0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1</v>
      </c>
      <c r="M27" s="83">
        <f t="shared" si="1"/>
        <v>1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2</v>
      </c>
      <c r="L31" s="27">
        <f>IFERROR(K31/J$4, "-")</f>
        <v>0.5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2</v>
      </c>
      <c r="L32" s="27">
        <f>IFERROR(K32/J$4, "-")</f>
        <v>0.5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B6CA018F-1915-45A4-9D3E-4D3F3661C70E}">
      <formula1>$P$7:$P$9</formula1>
    </dataValidation>
    <dataValidation type="list" allowBlank="1" showInputMessage="1" showErrorMessage="1" sqref="H2:H121" xr:uid="{F8660B7F-AEA5-40C1-AD94-4DC07DAB6AFE}">
      <formula1>$J$31:$J$35</formula1>
    </dataValidation>
    <dataValidation type="list" allowBlank="1" showInputMessage="1" showErrorMessage="1" sqref="F2:F121" xr:uid="{506309A6-B301-4F7F-852E-6DDB4413C55E}">
      <formula1>$J$23:$J$27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C12CB-E073-4659-9B6A-49A3FAE60130}">
  <sheetPr codeName="Sheet15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45365</v>
      </c>
      <c r="B2" s="48" t="s">
        <v>78</v>
      </c>
      <c r="C2" s="48" t="s">
        <v>111</v>
      </c>
      <c r="D2" s="48" t="s">
        <v>190</v>
      </c>
      <c r="E2" s="48" t="s">
        <v>52</v>
      </c>
      <c r="F2" s="48"/>
      <c r="G2" s="48"/>
      <c r="H2" s="49" t="s">
        <v>258</v>
      </c>
      <c r="J2" s="61" t="s">
        <v>33</v>
      </c>
      <c r="K2" s="62"/>
      <c r="L2" s="63"/>
    </row>
    <row r="3" spans="1:18" x14ac:dyDescent="0.5">
      <c r="A3" s="53">
        <v>45432</v>
      </c>
      <c r="B3" s="1" t="s">
        <v>78</v>
      </c>
      <c r="C3" s="1" t="s">
        <v>127</v>
      </c>
      <c r="D3" s="1" t="s">
        <v>206</v>
      </c>
      <c r="E3" s="1" t="s">
        <v>52</v>
      </c>
      <c r="F3" s="1"/>
      <c r="G3" s="1"/>
      <c r="H3" s="4" t="s">
        <v>258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45492</v>
      </c>
      <c r="B4" s="1" t="s">
        <v>78</v>
      </c>
      <c r="C4" s="1" t="s">
        <v>142</v>
      </c>
      <c r="D4" s="1" t="s">
        <v>221</v>
      </c>
      <c r="E4" s="1" t="s">
        <v>67</v>
      </c>
      <c r="F4" s="1"/>
      <c r="G4" s="1"/>
      <c r="H4" s="4" t="s">
        <v>258</v>
      </c>
      <c r="J4" s="6">
        <f>COUNTA(A2:A120)</f>
        <v>5</v>
      </c>
      <c r="K4" s="7">
        <f>COUNTIF(E2:E120,"*×*")</f>
        <v>1</v>
      </c>
      <c r="L4" s="26">
        <f>IF(J4&lt;&gt;0, K4/J4, "-")</f>
        <v>0.2</v>
      </c>
    </row>
    <row r="5" spans="1:18" ht="18.3" thickBot="1" x14ac:dyDescent="0.55000000000000004">
      <c r="A5" s="53">
        <v>45511</v>
      </c>
      <c r="B5" s="1" t="s">
        <v>78</v>
      </c>
      <c r="C5" s="1" t="s">
        <v>146</v>
      </c>
      <c r="D5" s="1" t="s">
        <v>225</v>
      </c>
      <c r="E5" s="1" t="s">
        <v>51</v>
      </c>
      <c r="F5" s="1" t="s">
        <v>256</v>
      </c>
      <c r="G5" s="1"/>
      <c r="H5" s="4" t="s">
        <v>258</v>
      </c>
    </row>
    <row r="6" spans="1:18" x14ac:dyDescent="0.5">
      <c r="A6" s="53">
        <v>45593</v>
      </c>
      <c r="B6" s="1" t="s">
        <v>78</v>
      </c>
      <c r="C6" s="1" t="s">
        <v>162</v>
      </c>
      <c r="D6" s="1" t="s">
        <v>241</v>
      </c>
      <c r="E6" s="1" t="s">
        <v>52</v>
      </c>
      <c r="F6" s="1"/>
      <c r="G6" s="1"/>
      <c r="H6" s="4" t="s">
        <v>258</v>
      </c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1</v>
      </c>
      <c r="L10" s="1">
        <f>COUNTIFS($A$1:$A$100,"&gt;=2024/3/1",$A$1:$A$100,"&lt;=2024/3/31",$E$1:$E$100,"×")</f>
        <v>0</v>
      </c>
      <c r="M10" s="73">
        <f t="shared" si="0"/>
        <v>0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1</v>
      </c>
      <c r="L12" s="1">
        <f>COUNTIFS($A$1:$A$100,"&gt;=2024/5/1",$A$1:$A$100,"&lt;=2024/5/31",$E$1:$E$100,"×")</f>
        <v>0</v>
      </c>
      <c r="M12" s="73">
        <f t="shared" si="0"/>
        <v>0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1</v>
      </c>
      <c r="L14" s="1">
        <f>COUNTIFS($A$1:$A$100,"&gt;=2024/7/1",$A$1:$A$100,"&lt;=2024/7/31",$E$1:$E$100,"×")</f>
        <v>0</v>
      </c>
      <c r="M14" s="73">
        <f t="shared" si="0"/>
        <v>0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1</v>
      </c>
      <c r="L15" s="1">
        <f>COUNTIFS($A$1:$A$100,"&gt;=2024/8/1",$A$1:$A$100,"&lt;=2024/8/31",$E$1:$E$100,"×")</f>
        <v>1</v>
      </c>
      <c r="M15" s="73">
        <f t="shared" si="0"/>
        <v>1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1</v>
      </c>
      <c r="L17" s="1">
        <f>COUNTIFS($A$1:$A$100,"&gt;=2024/9/1",$A$1:$A$100,"&lt;=2024/9/30",$E$1:$E$100,"×")</f>
        <v>0</v>
      </c>
      <c r="M17" s="73">
        <f t="shared" si="0"/>
        <v>0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>
        <f t="shared" ref="M24:M27" si="1">IFERROR(L24/K$4, "-")</f>
        <v>0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1</v>
      </c>
      <c r="M25" s="67">
        <f t="shared" si="1"/>
        <v>1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>
        <f t="shared" si="1"/>
        <v>0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5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BB58F0DA-128D-41AC-B710-2B3508063D6A}">
      <formula1>$P$7:$P$9</formula1>
    </dataValidation>
    <dataValidation type="list" allowBlank="1" showInputMessage="1" showErrorMessage="1" sqref="H2:H121" xr:uid="{A12BB287-79B1-4A9C-ACFA-F7F4CE7A9C8A}">
      <formula1>$J$31:$J$35</formula1>
    </dataValidation>
    <dataValidation type="list" allowBlank="1" showInputMessage="1" showErrorMessage="1" sqref="F2:F121" xr:uid="{2F6A4876-9D5C-4ED0-BD52-107AF093EE10}">
      <formula1>$J$23:$J$27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B98D4-CBF6-404D-B79E-B61811BC9F43}">
  <sheetPr codeName="Sheet16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45369</v>
      </c>
      <c r="B2" s="48" t="s">
        <v>79</v>
      </c>
      <c r="C2" s="48" t="s">
        <v>112</v>
      </c>
      <c r="D2" s="48" t="s">
        <v>191</v>
      </c>
      <c r="E2" s="48" t="s">
        <v>52</v>
      </c>
      <c r="F2" s="48"/>
      <c r="G2" s="48"/>
      <c r="H2" s="49" t="s">
        <v>260</v>
      </c>
      <c r="J2" s="61" t="s">
        <v>33</v>
      </c>
      <c r="K2" s="62"/>
      <c r="L2" s="63"/>
    </row>
    <row r="3" spans="1:18" x14ac:dyDescent="0.5">
      <c r="A3" s="53">
        <v>45385</v>
      </c>
      <c r="B3" s="1" t="s">
        <v>79</v>
      </c>
      <c r="C3" s="1" t="s">
        <v>115</v>
      </c>
      <c r="D3" s="1" t="s">
        <v>194</v>
      </c>
      <c r="E3" s="1" t="s">
        <v>52</v>
      </c>
      <c r="F3" s="1"/>
      <c r="G3" s="1"/>
      <c r="H3" s="4" t="s">
        <v>260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45635</v>
      </c>
      <c r="B4" s="1" t="s">
        <v>79</v>
      </c>
      <c r="C4" s="1" t="s">
        <v>170</v>
      </c>
      <c r="D4" s="1" t="s">
        <v>249</v>
      </c>
      <c r="E4" s="1" t="s">
        <v>52</v>
      </c>
      <c r="F4" s="1"/>
      <c r="G4" s="1"/>
      <c r="H4" s="4" t="s">
        <v>260</v>
      </c>
      <c r="J4" s="6">
        <f>COUNTA(A2:A120)</f>
        <v>3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1</v>
      </c>
      <c r="L10" s="1">
        <f>COUNTIFS($A$1:$A$100,"&gt;=2024/3/1",$A$1:$A$100,"&lt;=2024/3/31",$E$1:$E$100,"×")</f>
        <v>0</v>
      </c>
      <c r="M10" s="73">
        <f t="shared" si="0"/>
        <v>0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1</v>
      </c>
      <c r="L11" s="1">
        <f>COUNTIFS($A$1:$A$100,"&gt;=2024/4/1",$A$1:$A$100,"&lt;=2024/4/30",$E$1:$E$100,"×")</f>
        <v>0</v>
      </c>
      <c r="M11" s="73">
        <f t="shared" si="0"/>
        <v>0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1</v>
      </c>
      <c r="L19" s="7">
        <f>COUNTIFS($A$1:$A$100,"&gt;=2024/12/1",$A$1:$A$100,"&lt;=2024/12/31",$E$1:$E$100,"×")</f>
        <v>0</v>
      </c>
      <c r="M19" s="75">
        <f t="shared" si="0"/>
        <v>0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3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DABD2130-BF70-464A-B90A-A20777238C9B}">
      <formula1>$P$7:$P$9</formula1>
    </dataValidation>
    <dataValidation type="list" allowBlank="1" showInputMessage="1" showErrorMessage="1" sqref="H2:H121" xr:uid="{E53C7C7E-914A-4319-9F25-5E63E678A3C8}">
      <formula1>$J$31:$J$35</formula1>
    </dataValidation>
    <dataValidation type="list" allowBlank="1" showInputMessage="1" showErrorMessage="1" sqref="F2:F121" xr:uid="{8874E0E6-142D-4B2F-B23F-A8C3C0D78217}">
      <formula1>$J$23:$J$27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255DE-3812-4EEC-908F-F566D0F7B3B0}">
  <sheetPr codeName="Sheet17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45373</v>
      </c>
      <c r="B2" s="48" t="s">
        <v>80</v>
      </c>
      <c r="C2" s="48" t="s">
        <v>113</v>
      </c>
      <c r="D2" s="48" t="s">
        <v>192</v>
      </c>
      <c r="E2" s="48" t="s">
        <v>52</v>
      </c>
      <c r="F2" s="48"/>
      <c r="G2" s="48"/>
      <c r="H2" s="49" t="s">
        <v>258</v>
      </c>
      <c r="J2" s="61" t="s">
        <v>33</v>
      </c>
      <c r="K2" s="62"/>
      <c r="L2" s="63"/>
    </row>
    <row r="3" spans="1:18" x14ac:dyDescent="0.5">
      <c r="A3" s="53">
        <v>45512</v>
      </c>
      <c r="B3" s="1" t="s">
        <v>80</v>
      </c>
      <c r="C3" s="1" t="s">
        <v>147</v>
      </c>
      <c r="D3" s="1" t="s">
        <v>226</v>
      </c>
      <c r="E3" s="1" t="s">
        <v>52</v>
      </c>
      <c r="F3" s="1"/>
      <c r="G3" s="1"/>
      <c r="H3" s="4" t="s">
        <v>258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2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1</v>
      </c>
      <c r="L10" s="1">
        <f>COUNTIFS($A$1:$A$100,"&gt;=2024/3/1",$A$1:$A$100,"&lt;=2024/3/31",$E$1:$E$100,"×")</f>
        <v>0</v>
      </c>
      <c r="M10" s="73">
        <f t="shared" si="0"/>
        <v>0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1</v>
      </c>
      <c r="L15" s="1">
        <f>COUNTIFS($A$1:$A$100,"&gt;=2024/8/1",$A$1:$A$100,"&lt;=2024/8/31",$E$1:$E$100,"×")</f>
        <v>0</v>
      </c>
      <c r="M15" s="73">
        <f t="shared" si="0"/>
        <v>0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2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9FDF3442-759D-42C4-9FC2-7954101CDB88}">
      <formula1>$P$7:$P$9</formula1>
    </dataValidation>
    <dataValidation type="list" allowBlank="1" showInputMessage="1" showErrorMessage="1" sqref="H2:H121" xr:uid="{138B39DB-3D5F-4110-A369-C00DF62DB882}">
      <formula1>$J$31:$J$35</formula1>
    </dataValidation>
    <dataValidation type="list" allowBlank="1" showInputMessage="1" showErrorMessage="1" sqref="F2:F121" xr:uid="{4C307D2D-9CC0-4CA6-A80F-4AF2AAAE57DD}">
      <formula1>$J$23:$J$27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35064-342B-4301-BA5F-1B3528137769}">
  <sheetPr codeName="Sheet18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45383</v>
      </c>
      <c r="B2" s="48" t="s">
        <v>81</v>
      </c>
      <c r="C2" s="48" t="s">
        <v>114</v>
      </c>
      <c r="D2" s="48" t="s">
        <v>193</v>
      </c>
      <c r="E2" s="48" t="s">
        <v>52</v>
      </c>
      <c r="F2" s="48"/>
      <c r="G2" s="48"/>
      <c r="H2" s="49" t="s">
        <v>258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1</v>
      </c>
      <c r="L11" s="1">
        <f>COUNTIFS($A$1:$A$100,"&gt;=2024/4/1",$A$1:$A$100,"&lt;=2024/4/30",$E$1:$E$100,"×")</f>
        <v>0</v>
      </c>
      <c r="M11" s="73">
        <f t="shared" si="0"/>
        <v>0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C6A8D9E1-CDEE-427A-98ED-02D9874091D9}">
      <formula1>$P$7:$P$9</formula1>
    </dataValidation>
    <dataValidation type="list" allowBlank="1" showInputMessage="1" showErrorMessage="1" sqref="H2:H121" xr:uid="{70F13802-40D5-4799-811E-B60DD5C90CE2}">
      <formula1>$J$31:$J$35</formula1>
    </dataValidation>
    <dataValidation type="list" allowBlank="1" showInputMessage="1" showErrorMessage="1" sqref="F2:F121" xr:uid="{2B0006A0-91C9-41DD-8E1E-6412D5F0888C}">
      <formula1>$J$23:$J$27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D594F-5B27-4AF8-BB4E-E6BDB1E0B8D8}">
  <sheetPr codeName="Sheet19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45387</v>
      </c>
      <c r="B2" s="48" t="s">
        <v>82</v>
      </c>
      <c r="C2" s="48" t="s">
        <v>116</v>
      </c>
      <c r="D2" s="48" t="s">
        <v>195</v>
      </c>
      <c r="E2" s="48" t="s">
        <v>52</v>
      </c>
      <c r="F2" s="48"/>
      <c r="G2" s="48"/>
      <c r="H2" s="49" t="s">
        <v>258</v>
      </c>
      <c r="J2" s="61" t="s">
        <v>33</v>
      </c>
      <c r="K2" s="62"/>
      <c r="L2" s="63"/>
    </row>
    <row r="3" spans="1:18" x14ac:dyDescent="0.5">
      <c r="A3" s="53">
        <v>45433</v>
      </c>
      <c r="B3" s="1" t="s">
        <v>82</v>
      </c>
      <c r="C3" s="1" t="s">
        <v>128</v>
      </c>
      <c r="D3" s="1" t="s">
        <v>207</v>
      </c>
      <c r="E3" s="1" t="s">
        <v>51</v>
      </c>
      <c r="F3" s="1" t="s">
        <v>256</v>
      </c>
      <c r="G3" s="1"/>
      <c r="H3" s="4" t="s">
        <v>260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45448</v>
      </c>
      <c r="B4" s="1" t="s">
        <v>82</v>
      </c>
      <c r="C4" s="1" t="s">
        <v>131</v>
      </c>
      <c r="D4" s="1" t="s">
        <v>210</v>
      </c>
      <c r="E4" s="1" t="s">
        <v>52</v>
      </c>
      <c r="F4" s="1"/>
      <c r="G4" s="1"/>
      <c r="H4" s="4" t="s">
        <v>260</v>
      </c>
      <c r="J4" s="6">
        <f>COUNTA(A2:A120)</f>
        <v>7</v>
      </c>
      <c r="K4" s="7">
        <f>COUNTIF(E2:E120,"*×*")</f>
        <v>1</v>
      </c>
      <c r="L4" s="26">
        <f>IF(J4&lt;&gt;0, K4/J4, "-")</f>
        <v>0.14285714285714285</v>
      </c>
    </row>
    <row r="5" spans="1:18" ht="18.3" thickBot="1" x14ac:dyDescent="0.55000000000000004">
      <c r="A5" s="53">
        <v>45492</v>
      </c>
      <c r="B5" s="1" t="s">
        <v>82</v>
      </c>
      <c r="C5" s="1" t="s">
        <v>141</v>
      </c>
      <c r="D5" s="1" t="s">
        <v>220</v>
      </c>
      <c r="E5" s="1" t="s">
        <v>52</v>
      </c>
      <c r="F5" s="1"/>
      <c r="G5" s="1"/>
      <c r="H5" s="4" t="s">
        <v>260</v>
      </c>
    </row>
    <row r="6" spans="1:18" x14ac:dyDescent="0.5">
      <c r="A6" s="53">
        <v>45496</v>
      </c>
      <c r="B6" s="1" t="s">
        <v>82</v>
      </c>
      <c r="C6" s="1" t="s">
        <v>143</v>
      </c>
      <c r="D6" s="1" t="s">
        <v>222</v>
      </c>
      <c r="E6" s="1" t="s">
        <v>52</v>
      </c>
      <c r="F6" s="1"/>
      <c r="G6" s="1"/>
      <c r="H6" s="4" t="s">
        <v>260</v>
      </c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>
        <v>45645</v>
      </c>
      <c r="B7" s="1" t="s">
        <v>82</v>
      </c>
      <c r="C7" s="1" t="s">
        <v>174</v>
      </c>
      <c r="D7" s="1" t="s">
        <v>253</v>
      </c>
      <c r="E7" s="1" t="s">
        <v>52</v>
      </c>
      <c r="F7" s="1"/>
      <c r="G7" s="1"/>
      <c r="H7" s="4" t="s">
        <v>260</v>
      </c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>
        <v>45650</v>
      </c>
      <c r="B8" s="1" t="s">
        <v>82</v>
      </c>
      <c r="C8" s="1" t="s">
        <v>176</v>
      </c>
      <c r="D8" s="1" t="s">
        <v>255</v>
      </c>
      <c r="E8" s="1" t="s">
        <v>52</v>
      </c>
      <c r="F8" s="1"/>
      <c r="G8" s="1"/>
      <c r="H8" s="4" t="s">
        <v>260</v>
      </c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1</v>
      </c>
      <c r="L11" s="1">
        <f>COUNTIFS($A$1:$A$100,"&gt;=2024/4/1",$A$1:$A$100,"&lt;=2024/4/30",$E$1:$E$100,"×")</f>
        <v>0</v>
      </c>
      <c r="M11" s="73">
        <f t="shared" si="0"/>
        <v>0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1</v>
      </c>
      <c r="L12" s="1">
        <f>COUNTIFS($A$1:$A$100,"&gt;=2024/5/1",$A$1:$A$100,"&lt;=2024/5/31",$E$1:$E$100,"×")</f>
        <v>1</v>
      </c>
      <c r="M12" s="73">
        <f t="shared" si="0"/>
        <v>1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1</v>
      </c>
      <c r="L13" s="1">
        <f>COUNTIFS($A$1:$A$100,"&gt;=2024/6/1",$A$1:$A$100,"&lt;=2024/6/31",$E$1:$E$100,"×")</f>
        <v>0</v>
      </c>
      <c r="M13" s="73">
        <f t="shared" si="0"/>
        <v>0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2</v>
      </c>
      <c r="L14" s="1">
        <f>COUNTIFS($A$1:$A$100,"&gt;=2024/7/1",$A$1:$A$100,"&lt;=2024/7/31",$E$1:$E$100,"×")</f>
        <v>0</v>
      </c>
      <c r="M14" s="73">
        <f t="shared" si="0"/>
        <v>0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2</v>
      </c>
      <c r="L19" s="7">
        <f>COUNTIFS($A$1:$A$100,"&gt;=2024/12/1",$A$1:$A$100,"&lt;=2024/12/31",$E$1:$E$100,"×")</f>
        <v>0</v>
      </c>
      <c r="M19" s="75">
        <f t="shared" si="0"/>
        <v>0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>
        <f t="shared" ref="M24:M27" si="1">IFERROR(L24/K$4, "-")</f>
        <v>0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1</v>
      </c>
      <c r="M25" s="67">
        <f t="shared" si="1"/>
        <v>1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>
        <f t="shared" si="1"/>
        <v>0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6</v>
      </c>
      <c r="L31" s="27">
        <f>IFERROR(K31/J$4, "-")</f>
        <v>0.8571428571428571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0.14285714285714285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299D92DA-2C2B-4A71-94B7-BB7B7194BFD6}">
      <formula1>$P$7:$P$9</formula1>
    </dataValidation>
    <dataValidation type="list" allowBlank="1" showInputMessage="1" showErrorMessage="1" sqref="H2:H121" xr:uid="{885CD1DB-0374-44F0-9DD5-7BE58B3183EC}">
      <formula1>$J$31:$J$35</formula1>
    </dataValidation>
    <dataValidation type="list" allowBlank="1" showInputMessage="1" showErrorMessage="1" sqref="F2:F121" xr:uid="{59218054-8F14-4735-B606-33B60567DA9C}">
      <formula1>$J$23:$J$27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151CA-A729-4163-9A6F-4D9A274095A3}">
  <sheetPr codeName="Sheet20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45394</v>
      </c>
      <c r="B2" s="48" t="s">
        <v>83</v>
      </c>
      <c r="C2" s="48" t="s">
        <v>117</v>
      </c>
      <c r="D2" s="48" t="s">
        <v>196</v>
      </c>
      <c r="E2" s="48" t="s">
        <v>52</v>
      </c>
      <c r="F2" s="48"/>
      <c r="G2" s="48"/>
      <c r="H2" s="49" t="s">
        <v>258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1</v>
      </c>
      <c r="L11" s="1">
        <f>COUNTIFS($A$1:$A$100,"&gt;=2024/4/1",$A$1:$A$100,"&lt;=2024/4/30",$E$1:$E$100,"×")</f>
        <v>0</v>
      </c>
      <c r="M11" s="73">
        <f t="shared" si="0"/>
        <v>0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722AE7F8-AF6E-4A80-A7A3-EDAD3834086F}">
      <formula1>$P$7:$P$9</formula1>
    </dataValidation>
    <dataValidation type="list" allowBlank="1" showInputMessage="1" showErrorMessage="1" sqref="H2:H121" xr:uid="{37821EA6-1931-4D0F-B3B7-F57E88D6D604}">
      <formula1>$J$31:$J$35</formula1>
    </dataValidation>
    <dataValidation type="list" allowBlank="1" showInputMessage="1" showErrorMessage="1" sqref="F2:F121" xr:uid="{504BEF91-F402-4F41-B354-384708210444}">
      <formula1>$J$23:$J$27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809FC-94D7-415C-AA34-CC7E0973EF8A}">
  <sheetPr codeName="Sheet21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45397</v>
      </c>
      <c r="B2" s="48" t="s">
        <v>84</v>
      </c>
      <c r="C2" s="48" t="s">
        <v>120</v>
      </c>
      <c r="D2" s="48" t="s">
        <v>199</v>
      </c>
      <c r="E2" s="48" t="s">
        <v>52</v>
      </c>
      <c r="F2" s="48"/>
      <c r="G2" s="48"/>
      <c r="H2" s="49" t="s">
        <v>258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1</v>
      </c>
      <c r="L11" s="1">
        <f>COUNTIFS($A$1:$A$100,"&gt;=2024/4/1",$A$1:$A$100,"&lt;=2024/4/30",$E$1:$E$100,"×")</f>
        <v>0</v>
      </c>
      <c r="M11" s="73">
        <f t="shared" si="0"/>
        <v>0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EE9BC320-69EF-4C93-87B3-415CCF8988DA}">
      <formula1>$P$7:$P$9</formula1>
    </dataValidation>
    <dataValidation type="list" allowBlank="1" showInputMessage="1" showErrorMessage="1" sqref="H2:H121" xr:uid="{FCF3D15E-E090-4E17-861A-DE05843A2E4F}">
      <formula1>$J$31:$J$35</formula1>
    </dataValidation>
    <dataValidation type="list" allowBlank="1" showInputMessage="1" showErrorMessage="1" sqref="F2:F121" xr:uid="{324009B2-EDE2-45B1-B99B-C98288BB12D9}">
      <formula1>$J$23:$J$27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DE4D3-1ADA-4FED-9945-226EBD3ABFEC}">
  <sheetPr codeName="Sheet22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45422</v>
      </c>
      <c r="B2" s="48" t="s">
        <v>85</v>
      </c>
      <c r="C2" s="48" t="s">
        <v>124</v>
      </c>
      <c r="D2" s="48" t="s">
        <v>203</v>
      </c>
      <c r="E2" s="48" t="s">
        <v>51</v>
      </c>
      <c r="F2" s="48" t="s">
        <v>261</v>
      </c>
      <c r="G2" s="48"/>
      <c r="H2" s="49" t="s">
        <v>260</v>
      </c>
      <c r="J2" s="61" t="s">
        <v>33</v>
      </c>
      <c r="K2" s="62"/>
      <c r="L2" s="63"/>
    </row>
    <row r="3" spans="1:18" x14ac:dyDescent="0.5">
      <c r="A3" s="53">
        <v>45534</v>
      </c>
      <c r="B3" s="1" t="s">
        <v>85</v>
      </c>
      <c r="C3" s="1" t="s">
        <v>150</v>
      </c>
      <c r="D3" s="1" t="s">
        <v>229</v>
      </c>
      <c r="E3" s="1" t="s">
        <v>52</v>
      </c>
      <c r="F3" s="1"/>
      <c r="G3" s="1"/>
      <c r="H3" s="4" t="s">
        <v>258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45559</v>
      </c>
      <c r="B4" s="1" t="s">
        <v>85</v>
      </c>
      <c r="C4" s="1" t="s">
        <v>155</v>
      </c>
      <c r="D4" s="1" t="s">
        <v>234</v>
      </c>
      <c r="E4" s="1" t="s">
        <v>52</v>
      </c>
      <c r="F4" s="1"/>
      <c r="G4" s="1"/>
      <c r="H4" s="4" t="s">
        <v>258</v>
      </c>
      <c r="J4" s="6">
        <f>COUNTA(A2:A120)</f>
        <v>3</v>
      </c>
      <c r="K4" s="7">
        <f>COUNTIF(E2:E120,"*×*")</f>
        <v>1</v>
      </c>
      <c r="L4" s="26">
        <f>IF(J4&lt;&gt;0, K4/J4, "-")</f>
        <v>0.33333333333333331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1</v>
      </c>
      <c r="L12" s="1">
        <f>COUNTIFS($A$1:$A$100,"&gt;=2024/5/1",$A$1:$A$100,"&lt;=2024/5/31",$E$1:$E$100,"×")</f>
        <v>1</v>
      </c>
      <c r="M12" s="73">
        <f t="shared" si="0"/>
        <v>1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1</v>
      </c>
      <c r="L15" s="1">
        <f>COUNTIFS($A$1:$A$100,"&gt;=2024/8/1",$A$1:$A$100,"&lt;=2024/8/31",$E$1:$E$100,"×")</f>
        <v>0</v>
      </c>
      <c r="M15" s="73">
        <f t="shared" si="0"/>
        <v>0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1</v>
      </c>
      <c r="L16" s="1">
        <f>COUNTIFS($A$1:$A$100,"&gt;=2024/9/1",$A$1:$A$100,"&lt;=2024/9/30",$E$1:$E$100,"×")</f>
        <v>0</v>
      </c>
      <c r="M16" s="73">
        <f t="shared" si="0"/>
        <v>0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>
        <f t="shared" ref="M24:M27" si="1">IFERROR(L24/K$4, "-")</f>
        <v>0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>
        <f t="shared" si="1"/>
        <v>0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1</v>
      </c>
      <c r="M27" s="83">
        <f t="shared" si="1"/>
        <v>1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0.33333333333333331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2</v>
      </c>
      <c r="L32" s="27">
        <f>IFERROR(K32/J$4, "-")</f>
        <v>0.66666666666666663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D7FEFEE2-6DC1-4779-B378-199FA0F41DE7}">
      <formula1>$P$7:$P$9</formula1>
    </dataValidation>
    <dataValidation type="list" allowBlank="1" showInputMessage="1" showErrorMessage="1" sqref="H2:H121" xr:uid="{0A5297B9-FB53-4B56-9842-D16C3CE92DA4}">
      <formula1>$J$31:$J$35</formula1>
    </dataValidation>
    <dataValidation type="list" allowBlank="1" showInputMessage="1" showErrorMessage="1" sqref="F2:F121" xr:uid="{E9A3E1C7-18A3-4785-BE0D-374DED6EC57A}">
      <formula1>$J$23:$J$27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76372-7956-4225-B50B-88C18B6F1826}">
  <sheetPr codeName="Sheet23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45427</v>
      </c>
      <c r="B2" s="48" t="s">
        <v>86</v>
      </c>
      <c r="C2" s="48" t="s">
        <v>126</v>
      </c>
      <c r="D2" s="48" t="s">
        <v>205</v>
      </c>
      <c r="E2" s="48" t="s">
        <v>52</v>
      </c>
      <c r="F2" s="48"/>
      <c r="G2" s="48"/>
      <c r="H2" s="49" t="s">
        <v>260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1</v>
      </c>
      <c r="L12" s="1">
        <f>COUNTIFS($A$1:$A$100,"&gt;=2024/5/1",$A$1:$A$100,"&lt;=2024/5/31",$E$1:$E$100,"×")</f>
        <v>0</v>
      </c>
      <c r="M12" s="73">
        <f t="shared" si="0"/>
        <v>0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E9CC6EF6-A223-4CBC-A6B4-3AD82C6243B4}">
      <formula1>$P$7:$P$9</formula1>
    </dataValidation>
    <dataValidation type="list" allowBlank="1" showInputMessage="1" showErrorMessage="1" sqref="H2:H121" xr:uid="{7DE2191E-8F66-4E67-998E-578EF110BB7C}">
      <formula1>$J$31:$J$35</formula1>
    </dataValidation>
    <dataValidation type="list" allowBlank="1" showInputMessage="1" showErrorMessage="1" sqref="F2:F121" xr:uid="{5C695F4E-CB30-4362-840F-83C4E4945832}">
      <formula1>$J$23:$J$27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DC539-EA72-4961-8FFC-5822C10EF88F}">
  <sheetPr codeName="Sheet24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45434</v>
      </c>
      <c r="B2" s="48" t="s">
        <v>87</v>
      </c>
      <c r="C2" s="48" t="s">
        <v>129</v>
      </c>
      <c r="D2" s="48" t="s">
        <v>208</v>
      </c>
      <c r="E2" s="48" t="s">
        <v>52</v>
      </c>
      <c r="F2" s="48"/>
      <c r="G2" s="48"/>
      <c r="H2" s="49" t="s">
        <v>258</v>
      </c>
      <c r="J2" s="61" t="s">
        <v>33</v>
      </c>
      <c r="K2" s="62"/>
      <c r="L2" s="63"/>
    </row>
    <row r="3" spans="1:18" x14ac:dyDescent="0.5">
      <c r="A3" s="53">
        <v>45457</v>
      </c>
      <c r="B3" s="1" t="s">
        <v>87</v>
      </c>
      <c r="C3" s="1" t="s">
        <v>132</v>
      </c>
      <c r="D3" s="1" t="s">
        <v>211</v>
      </c>
      <c r="E3" s="1" t="s">
        <v>52</v>
      </c>
      <c r="F3" s="1"/>
      <c r="G3" s="1"/>
      <c r="H3" s="4" t="s">
        <v>258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45467</v>
      </c>
      <c r="B4" s="1" t="s">
        <v>87</v>
      </c>
      <c r="C4" s="1" t="s">
        <v>134</v>
      </c>
      <c r="D4" s="1" t="s">
        <v>213</v>
      </c>
      <c r="E4" s="1" t="s">
        <v>52</v>
      </c>
      <c r="F4" s="1"/>
      <c r="G4" s="1"/>
      <c r="H4" s="4" t="s">
        <v>260</v>
      </c>
      <c r="J4" s="6">
        <f>COUNTA(A2:A120)</f>
        <v>8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>
        <v>45545</v>
      </c>
      <c r="B5" s="1" t="s">
        <v>87</v>
      </c>
      <c r="C5" s="1" t="s">
        <v>153</v>
      </c>
      <c r="D5" s="1" t="s">
        <v>232</v>
      </c>
      <c r="E5" s="1" t="s">
        <v>52</v>
      </c>
      <c r="F5" s="1"/>
      <c r="G5" s="1"/>
      <c r="H5" s="4" t="s">
        <v>258</v>
      </c>
    </row>
    <row r="6" spans="1:18" x14ac:dyDescent="0.5">
      <c r="A6" s="53">
        <v>45580</v>
      </c>
      <c r="B6" s="1" t="s">
        <v>87</v>
      </c>
      <c r="C6" s="1" t="s">
        <v>159</v>
      </c>
      <c r="D6" s="1" t="s">
        <v>238</v>
      </c>
      <c r="E6" s="1" t="s">
        <v>52</v>
      </c>
      <c r="F6" s="1"/>
      <c r="G6" s="1"/>
      <c r="H6" s="4" t="s">
        <v>258</v>
      </c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>
        <v>45612</v>
      </c>
      <c r="B7" s="1" t="s">
        <v>87</v>
      </c>
      <c r="C7" s="1" t="s">
        <v>166</v>
      </c>
      <c r="D7" s="1" t="s">
        <v>245</v>
      </c>
      <c r="E7" s="1" t="s">
        <v>52</v>
      </c>
      <c r="F7" s="1"/>
      <c r="G7" s="1"/>
      <c r="H7" s="4" t="s">
        <v>260</v>
      </c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>
        <v>45630</v>
      </c>
      <c r="B8" s="1" t="s">
        <v>87</v>
      </c>
      <c r="C8" s="1" t="s">
        <v>168</v>
      </c>
      <c r="D8" s="1" t="s">
        <v>247</v>
      </c>
      <c r="E8" s="1" t="s">
        <v>52</v>
      </c>
      <c r="F8" s="1"/>
      <c r="G8" s="1"/>
      <c r="H8" s="4" t="s">
        <v>258</v>
      </c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>
        <v>45635</v>
      </c>
      <c r="B9" s="1" t="s">
        <v>87</v>
      </c>
      <c r="C9" s="1" t="s">
        <v>172</v>
      </c>
      <c r="D9" s="1" t="s">
        <v>251</v>
      </c>
      <c r="E9" s="1" t="s">
        <v>52</v>
      </c>
      <c r="F9" s="1"/>
      <c r="G9" s="1"/>
      <c r="H9" s="4" t="s">
        <v>258</v>
      </c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1</v>
      </c>
      <c r="L12" s="1">
        <f>COUNTIFS($A$1:$A$100,"&gt;=2024/5/1",$A$1:$A$100,"&lt;=2024/5/31",$E$1:$E$100,"×")</f>
        <v>0</v>
      </c>
      <c r="M12" s="73">
        <f t="shared" si="0"/>
        <v>0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2</v>
      </c>
      <c r="L13" s="1">
        <f>COUNTIFS($A$1:$A$100,"&gt;=2024/6/1",$A$1:$A$100,"&lt;=2024/6/31",$E$1:$E$100,"×")</f>
        <v>0</v>
      </c>
      <c r="M13" s="73">
        <f t="shared" si="0"/>
        <v>0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1</v>
      </c>
      <c r="L16" s="1">
        <f>COUNTIFS($A$1:$A$100,"&gt;=2024/9/1",$A$1:$A$100,"&lt;=2024/9/30",$E$1:$E$100,"×")</f>
        <v>0</v>
      </c>
      <c r="M16" s="73">
        <f t="shared" si="0"/>
        <v>0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1</v>
      </c>
      <c r="L17" s="1">
        <f>COUNTIFS($A$1:$A$100,"&gt;=2024/9/1",$A$1:$A$100,"&lt;=2024/9/30",$E$1:$E$100,"×")</f>
        <v>0</v>
      </c>
      <c r="M17" s="73">
        <f t="shared" si="0"/>
        <v>0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1</v>
      </c>
      <c r="L18" s="1">
        <f>COUNTIFS($A$1:$A$100,"&gt;=2024/11/1",$A$1:$A$100,"&lt;=2024/11/30",$E$1:$E$100,"×")</f>
        <v>0</v>
      </c>
      <c r="M18" s="73">
        <f t="shared" si="0"/>
        <v>0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2</v>
      </c>
      <c r="L19" s="7">
        <f>COUNTIFS($A$1:$A$100,"&gt;=2024/12/1",$A$1:$A$100,"&lt;=2024/12/31",$E$1:$E$100,"×")</f>
        <v>0</v>
      </c>
      <c r="M19" s="75">
        <f t="shared" si="0"/>
        <v>0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2</v>
      </c>
      <c r="L31" s="27">
        <f>IFERROR(K31/J$4, "-")</f>
        <v>0.25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6</v>
      </c>
      <c r="L32" s="27">
        <f>IFERROR(K32/J$4, "-")</f>
        <v>0.75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AC9AB8EE-C99B-440C-A2EA-20C98400402F}">
      <formula1>$P$7:$P$9</formula1>
    </dataValidation>
    <dataValidation type="list" allowBlank="1" showInputMessage="1" showErrorMessage="1" sqref="H2:H121" xr:uid="{CDAABEAC-DB07-47E9-B522-8F48ADAFDA12}">
      <formula1>$J$31:$J$35</formula1>
    </dataValidation>
    <dataValidation type="list" allowBlank="1" showInputMessage="1" showErrorMessage="1" sqref="F2:F121" xr:uid="{69D15F52-970C-44AF-A199-47196B643CA0}">
      <formula1>$J$23:$J$27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5F552-7573-43B2-9F77-5D4E41CF8473}">
  <sheetPr codeName="Sheet25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45467</v>
      </c>
      <c r="B2" s="48" t="s">
        <v>88</v>
      </c>
      <c r="C2" s="48" t="s">
        <v>133</v>
      </c>
      <c r="D2" s="48" t="s">
        <v>212</v>
      </c>
      <c r="E2" s="48" t="s">
        <v>52</v>
      </c>
      <c r="F2" s="48"/>
      <c r="G2" s="48"/>
      <c r="H2" s="49" t="s">
        <v>260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1</v>
      </c>
      <c r="L13" s="1">
        <f>COUNTIFS($A$1:$A$100,"&gt;=2024/6/1",$A$1:$A$100,"&lt;=2024/6/31",$E$1:$E$100,"×")</f>
        <v>0</v>
      </c>
      <c r="M13" s="73">
        <f t="shared" si="0"/>
        <v>0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DE2F0147-FA3A-45C7-9601-1BD3D6F0F389}">
      <formula1>$P$7:$P$9</formula1>
    </dataValidation>
    <dataValidation type="list" allowBlank="1" showInputMessage="1" showErrorMessage="1" sqref="H2:H121" xr:uid="{84EBF31E-B15C-4564-858B-328671D9A141}">
      <formula1>$J$31:$J$35</formula1>
    </dataValidation>
    <dataValidation type="list" allowBlank="1" showInputMessage="1" showErrorMessage="1" sqref="F2:F121" xr:uid="{50C65CFF-705C-46C8-A559-D87413910FAD}">
      <formula1>$J$23:$J$27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27B06-D4F0-48B7-B8B6-D20B15F6DC16}">
  <sheetPr codeName="Sheet26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45474</v>
      </c>
      <c r="B2" s="48" t="s">
        <v>89</v>
      </c>
      <c r="C2" s="48" t="s">
        <v>135</v>
      </c>
      <c r="D2" s="48" t="s">
        <v>214</v>
      </c>
      <c r="E2" s="48" t="s">
        <v>52</v>
      </c>
      <c r="F2" s="48"/>
      <c r="G2" s="48"/>
      <c r="H2" s="49" t="s">
        <v>260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1</v>
      </c>
      <c r="L14" s="1">
        <f>COUNTIFS($A$1:$A$100,"&gt;=2024/7/1",$A$1:$A$100,"&lt;=2024/7/31",$E$1:$E$100,"×")</f>
        <v>0</v>
      </c>
      <c r="M14" s="73">
        <f t="shared" si="0"/>
        <v>0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F85DF6CE-244C-45BD-B11B-C4B684793B4C}">
      <formula1>$P$7:$P$9</formula1>
    </dataValidation>
    <dataValidation type="list" allowBlank="1" showInputMessage="1" showErrorMessage="1" sqref="H2:H121" xr:uid="{0CBE4BB0-06B2-4AEC-A904-B66F296172B0}">
      <formula1>$J$31:$J$35</formula1>
    </dataValidation>
    <dataValidation type="list" allowBlank="1" showInputMessage="1" showErrorMessage="1" sqref="F2:F121" xr:uid="{8211A4B9-2FD0-4FBF-95B2-9ECA0281E48D}">
      <formula1>$J$23:$J$27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1E2B-2983-497A-9A7E-1F1E3744C414}">
  <sheetPr codeName="Sheet27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45485</v>
      </c>
      <c r="B2" s="48" t="s">
        <v>90</v>
      </c>
      <c r="C2" s="48" t="s">
        <v>138</v>
      </c>
      <c r="D2" s="48" t="s">
        <v>217</v>
      </c>
      <c r="E2" s="48" t="s">
        <v>52</v>
      </c>
      <c r="F2" s="48"/>
      <c r="G2" s="48"/>
      <c r="H2" s="49" t="s">
        <v>258</v>
      </c>
      <c r="J2" s="61" t="s">
        <v>33</v>
      </c>
      <c r="K2" s="62"/>
      <c r="L2" s="63"/>
    </row>
    <row r="3" spans="1:18" x14ac:dyDescent="0.5">
      <c r="A3" s="53">
        <v>45491</v>
      </c>
      <c r="B3" s="1" t="s">
        <v>90</v>
      </c>
      <c r="C3" s="1" t="s">
        <v>140</v>
      </c>
      <c r="D3" s="1" t="s">
        <v>219</v>
      </c>
      <c r="E3" s="1" t="s">
        <v>51</v>
      </c>
      <c r="F3" s="1" t="s">
        <v>256</v>
      </c>
      <c r="G3" s="1"/>
      <c r="H3" s="4" t="s">
        <v>258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>
        <v>45540</v>
      </c>
      <c r="B4" s="1" t="s">
        <v>90</v>
      </c>
      <c r="C4" s="1" t="s">
        <v>152</v>
      </c>
      <c r="D4" s="1" t="s">
        <v>231</v>
      </c>
      <c r="E4" s="1" t="s">
        <v>52</v>
      </c>
      <c r="F4" s="1"/>
      <c r="G4" s="1"/>
      <c r="H4" s="4" t="s">
        <v>258</v>
      </c>
      <c r="J4" s="6">
        <f>COUNTA(A2:A120)</f>
        <v>3</v>
      </c>
      <c r="K4" s="7">
        <f>COUNTIF(E2:E120,"*×*")</f>
        <v>1</v>
      </c>
      <c r="L4" s="26">
        <f>IF(J4&lt;&gt;0, K4/J4, "-")</f>
        <v>0.33333333333333331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2</v>
      </c>
      <c r="L14" s="1">
        <f>COUNTIFS($A$1:$A$100,"&gt;=2024/7/1",$A$1:$A$100,"&lt;=2024/7/31",$E$1:$E$100,"×")</f>
        <v>1</v>
      </c>
      <c r="M14" s="73">
        <f t="shared" si="0"/>
        <v>0.5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1</v>
      </c>
      <c r="L16" s="1">
        <f>COUNTIFS($A$1:$A$100,"&gt;=2024/9/1",$A$1:$A$100,"&lt;=2024/9/30",$E$1:$E$100,"×")</f>
        <v>0</v>
      </c>
      <c r="M16" s="73">
        <f t="shared" si="0"/>
        <v>0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>
        <f t="shared" ref="M24:M27" si="1">IFERROR(L24/K$4, "-")</f>
        <v>0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1</v>
      </c>
      <c r="M25" s="67">
        <f t="shared" si="1"/>
        <v>1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>
        <f t="shared" si="1"/>
        <v>0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3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CC40753E-0979-489B-8121-16B763FE0619}">
      <formula1>$P$7:$P$9</formula1>
    </dataValidation>
    <dataValidation type="list" allowBlank="1" showInputMessage="1" showErrorMessage="1" sqref="H2:H121" xr:uid="{AD6BACC3-6782-4679-B8C3-3FA8E92E85BD}">
      <formula1>$J$31:$J$35</formula1>
    </dataValidation>
    <dataValidation type="list" allowBlank="1" showInputMessage="1" showErrorMessage="1" sqref="F2:F121" xr:uid="{2E17D385-5DDD-4AAA-96DF-77E8FDB7ABDB}">
      <formula1>$J$23:$J$27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5697B-EC54-44E1-A3FC-644389005530}">
  <sheetPr codeName="Sheet28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45489</v>
      </c>
      <c r="B2" s="48" t="s">
        <v>91</v>
      </c>
      <c r="C2" s="48" t="s">
        <v>139</v>
      </c>
      <c r="D2" s="48" t="s">
        <v>218</v>
      </c>
      <c r="E2" s="48" t="s">
        <v>52</v>
      </c>
      <c r="F2" s="48"/>
      <c r="G2" s="48"/>
      <c r="H2" s="49" t="s">
        <v>260</v>
      </c>
      <c r="J2" s="61" t="s">
        <v>33</v>
      </c>
      <c r="K2" s="62"/>
      <c r="L2" s="63"/>
    </row>
    <row r="3" spans="1:18" x14ac:dyDescent="0.5">
      <c r="A3" s="53">
        <v>45602</v>
      </c>
      <c r="B3" s="1" t="s">
        <v>91</v>
      </c>
      <c r="C3" s="1" t="s">
        <v>164</v>
      </c>
      <c r="D3" s="1" t="s">
        <v>243</v>
      </c>
      <c r="E3" s="1" t="s">
        <v>52</v>
      </c>
      <c r="F3" s="1"/>
      <c r="G3" s="1"/>
      <c r="H3" s="4" t="s">
        <v>258</v>
      </c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2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1</v>
      </c>
      <c r="L14" s="1">
        <f>COUNTIFS($A$1:$A$100,"&gt;=2024/7/1",$A$1:$A$100,"&lt;=2024/7/31",$E$1:$E$100,"×")</f>
        <v>0</v>
      </c>
      <c r="M14" s="73">
        <f t="shared" si="0"/>
        <v>0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1</v>
      </c>
      <c r="L18" s="1">
        <f>COUNTIFS($A$1:$A$100,"&gt;=2024/11/1",$A$1:$A$100,"&lt;=2024/11/30",$E$1:$E$100,"×")</f>
        <v>0</v>
      </c>
      <c r="M18" s="73">
        <f t="shared" si="0"/>
        <v>0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0.5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0.5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803192F5-B57D-47D3-8986-E08C516F345A}">
      <formula1>$P$7:$P$9</formula1>
    </dataValidation>
    <dataValidation type="list" allowBlank="1" showInputMessage="1" showErrorMessage="1" sqref="H2:H121" xr:uid="{6A6EE0C8-5A02-4E8D-8A70-0DD4735E4650}">
      <formula1>$J$31:$J$35</formula1>
    </dataValidation>
    <dataValidation type="list" allowBlank="1" showInputMessage="1" showErrorMessage="1" sqref="F2:F121" xr:uid="{CF431383-FAB1-4A3F-8DBB-9C5EF7C02D0D}">
      <formula1>$J$23:$J$27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A38E0-9BA5-4DE1-8711-5F7A9F291EF6}">
  <sheetPr codeName="Sheet29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45539</v>
      </c>
      <c r="B2" s="48" t="s">
        <v>92</v>
      </c>
      <c r="C2" s="48" t="s">
        <v>151</v>
      </c>
      <c r="D2" s="48" t="s">
        <v>230</v>
      </c>
      <c r="E2" s="48" t="s">
        <v>51</v>
      </c>
      <c r="F2" s="48" t="s">
        <v>256</v>
      </c>
      <c r="G2" s="48"/>
      <c r="H2" s="49" t="s">
        <v>258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1</v>
      </c>
      <c r="L4" s="26">
        <f>IF(J4&lt;&gt;0, K4/J4, "-")</f>
        <v>1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1</v>
      </c>
      <c r="L16" s="1">
        <f>COUNTIFS($A$1:$A$100,"&gt;=2024/9/1",$A$1:$A$100,"&lt;=2024/9/30",$E$1:$E$100,"×")</f>
        <v>1</v>
      </c>
      <c r="M16" s="73">
        <f t="shared" si="0"/>
        <v>1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1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>
        <f>IFERROR(L23/K$4, "-")</f>
        <v>0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>
        <f t="shared" ref="M24:M27" si="1">IFERROR(L24/K$4, "-")</f>
        <v>0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1</v>
      </c>
      <c r="M25" s="67">
        <f t="shared" si="1"/>
        <v>1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>
        <f t="shared" si="1"/>
        <v>0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>
        <f t="shared" si="1"/>
        <v>0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F0424D59-D45A-4EF5-B1F5-4145677DBDFE}">
      <formula1>$P$7:$P$9</formula1>
    </dataValidation>
    <dataValidation type="list" allowBlank="1" showInputMessage="1" showErrorMessage="1" sqref="H2:H121" xr:uid="{77D75948-1FB3-4BD4-B10C-0A5A27A8A978}">
      <formula1>$J$31:$J$35</formula1>
    </dataValidation>
    <dataValidation type="list" allowBlank="1" showInputMessage="1" showErrorMessage="1" sqref="F2:F121" xr:uid="{93AF0E4D-CF7E-431A-B44B-BAC3EB6B10D0}">
      <formula1>$J$23:$J$27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4D355-414C-4A90-AA29-C85A921B2E18}">
  <sheetPr codeName="Sheet30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45574</v>
      </c>
      <c r="B2" s="48" t="s">
        <v>93</v>
      </c>
      <c r="C2" s="48" t="s">
        <v>156</v>
      </c>
      <c r="D2" s="48" t="s">
        <v>235</v>
      </c>
      <c r="E2" s="48" t="s">
        <v>52</v>
      </c>
      <c r="F2" s="48"/>
      <c r="G2" s="48"/>
      <c r="H2" s="49" t="s">
        <v>260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1</v>
      </c>
      <c r="L17" s="1">
        <f>COUNTIFS($A$1:$A$100,"&gt;=2024/9/1",$A$1:$A$100,"&lt;=2024/9/30",$E$1:$E$100,"×")</f>
        <v>0</v>
      </c>
      <c r="M17" s="73">
        <f t="shared" si="0"/>
        <v>0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687FCF61-9B08-4BBD-9F90-32D03292A55C}">
      <formula1>$P$7:$P$9</formula1>
    </dataValidation>
    <dataValidation type="list" allowBlank="1" showInputMessage="1" showErrorMessage="1" sqref="H2:H121" xr:uid="{2F865EB9-1EEA-4998-AD8A-207059876CFE}">
      <formula1>$J$31:$J$35</formula1>
    </dataValidation>
    <dataValidation type="list" allowBlank="1" showInputMessage="1" showErrorMessage="1" sqref="F2:F121" xr:uid="{30F49CD6-7569-4DE2-BA12-A3630A77D6CD}">
      <formula1>$J$23:$J$27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EC774-F3A1-49E6-A888-3ACFB2B41301}">
  <sheetPr codeName="Sheet31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45576</v>
      </c>
      <c r="B2" s="48" t="s">
        <v>94</v>
      </c>
      <c r="C2" s="48" t="s">
        <v>158</v>
      </c>
      <c r="D2" s="48" t="s">
        <v>237</v>
      </c>
      <c r="E2" s="48" t="s">
        <v>52</v>
      </c>
      <c r="F2" s="48"/>
      <c r="G2" s="48"/>
      <c r="H2" s="49" t="s">
        <v>258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1</v>
      </c>
      <c r="L17" s="1">
        <f>COUNTIFS($A$1:$A$100,"&gt;=2024/9/1",$A$1:$A$100,"&lt;=2024/9/30",$E$1:$E$100,"×")</f>
        <v>0</v>
      </c>
      <c r="M17" s="73">
        <f t="shared" si="0"/>
        <v>0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D5D99C49-E7D5-4BB3-8010-D54DA4E981FD}">
      <formula1>$P$7:$P$9</formula1>
    </dataValidation>
    <dataValidation type="list" allowBlank="1" showInputMessage="1" showErrorMessage="1" sqref="H2:H121" xr:uid="{52364329-F6D6-4EF8-BF1A-E6D84C84D455}">
      <formula1>$J$31:$J$35</formula1>
    </dataValidation>
    <dataValidation type="list" allowBlank="1" showInputMessage="1" showErrorMessage="1" sqref="F2:F121" xr:uid="{7193931E-4596-46BC-9339-D33B0854FABF}">
      <formula1>$J$23:$J$27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BDC01-F2A0-4674-B509-268DEE902A50}">
  <sheetPr codeName="Sheet32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45582</v>
      </c>
      <c r="B2" s="48" t="s">
        <v>95</v>
      </c>
      <c r="C2" s="48" t="s">
        <v>161</v>
      </c>
      <c r="D2" s="48" t="s">
        <v>240</v>
      </c>
      <c r="E2" s="48" t="s">
        <v>52</v>
      </c>
      <c r="F2" s="48"/>
      <c r="G2" s="48"/>
      <c r="H2" s="49" t="s">
        <v>260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1</v>
      </c>
      <c r="L17" s="1">
        <f>COUNTIFS($A$1:$A$100,"&gt;=2024/9/1",$A$1:$A$100,"&lt;=2024/9/30",$E$1:$E$100,"×")</f>
        <v>0</v>
      </c>
      <c r="M17" s="73">
        <f t="shared" si="0"/>
        <v>0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0</v>
      </c>
      <c r="L19" s="7">
        <f>COUNTIFS($A$1:$A$100,"&gt;=2024/12/1",$A$1:$A$100,"&lt;=2024/12/31",$E$1:$E$100,"×")</f>
        <v>0</v>
      </c>
      <c r="M19" s="75" t="str">
        <f t="shared" si="0"/>
        <v>-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5493DBFE-3BAC-467E-9587-61FBD445BF55}">
      <formula1>$P$7:$P$9</formula1>
    </dataValidation>
    <dataValidation type="list" allowBlank="1" showInputMessage="1" showErrorMessage="1" sqref="H2:H121" xr:uid="{74622AC1-BC84-4B77-B816-8D6FE5CA9686}">
      <formula1>$J$31:$J$35</formula1>
    </dataValidation>
    <dataValidation type="list" allowBlank="1" showInputMessage="1" showErrorMessage="1" sqref="F2:F121" xr:uid="{2D94B11C-CE3E-4BC1-8288-538706BBABB0}">
      <formula1>$J$23:$J$27</formula1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235BD-3980-4999-B780-7583BEAE21D1}">
  <sheetPr codeName="Sheet33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45635</v>
      </c>
      <c r="B2" s="48" t="s">
        <v>96</v>
      </c>
      <c r="C2" s="48" t="s">
        <v>171</v>
      </c>
      <c r="D2" s="48" t="s">
        <v>250</v>
      </c>
      <c r="E2" s="48" t="s">
        <v>52</v>
      </c>
      <c r="F2" s="48"/>
      <c r="G2" s="48"/>
      <c r="H2" s="49" t="s">
        <v>260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1</v>
      </c>
      <c r="L19" s="7">
        <f>COUNTIFS($A$1:$A$100,"&gt;=2024/12/1",$A$1:$A$100,"&lt;=2024/12/31",$E$1:$E$100,"×")</f>
        <v>0</v>
      </c>
      <c r="M19" s="75">
        <f t="shared" si="0"/>
        <v>0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1</v>
      </c>
      <c r="L31" s="27">
        <f>IFERROR(K31/J$4, "-")</f>
        <v>1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0</v>
      </c>
      <c r="L32" s="27">
        <f>IFERROR(K32/J$4, "-")</f>
        <v>0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35C584ED-2769-4AFA-9374-46039A6F46E6}">
      <formula1>$P$7:$P$9</formula1>
    </dataValidation>
    <dataValidation type="list" allowBlank="1" showInputMessage="1" showErrorMessage="1" sqref="H2:H121" xr:uid="{F87ED67A-CD8C-44AA-BBDA-167A0A0881E0}">
      <formula1>$J$31:$J$35</formula1>
    </dataValidation>
    <dataValidation type="list" allowBlank="1" showInputMessage="1" showErrorMessage="1" sqref="F2:F121" xr:uid="{B155C2D8-3FE1-4BA3-9149-9D14F351CEFF}">
      <formula1>$J$23:$J$27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591ED-F22D-4FCB-A07F-65C539955919}">
  <sheetPr codeName="Sheet34">
    <tabColor rgb="FF00B0F0"/>
  </sheetPr>
  <dimension ref="A1:R121"/>
  <sheetViews>
    <sheetView zoomScale="76" zoomScaleNormal="76" workbookViewId="0">
      <pane ySplit="1" topLeftCell="A2" activePane="bottomLeft" state="frozen"/>
      <selection pane="bottomLeft" activeCell="G34" sqref="G34"/>
    </sheetView>
  </sheetViews>
  <sheetFormatPr defaultRowHeight="17.75" x14ac:dyDescent="0.5"/>
  <cols>
    <col min="1" max="1" width="13.08984375" customWidth="1"/>
    <col min="2" max="2" width="30.6328125" customWidth="1"/>
    <col min="3" max="3" width="14.6328125" customWidth="1"/>
    <col min="4" max="4" width="22.26953125" customWidth="1"/>
    <col min="5" max="5" width="11.6328125" customWidth="1"/>
    <col min="6" max="6" width="43.81640625" customWidth="1"/>
    <col min="7" max="7" width="48.26953125" customWidth="1"/>
    <col min="8" max="8" width="15.1796875" customWidth="1"/>
    <col min="10" max="10" width="20" customWidth="1"/>
    <col min="11" max="11" width="17.90625" customWidth="1"/>
    <col min="12" max="12" width="20.1796875" customWidth="1"/>
    <col min="13" max="13" width="8.90625" customWidth="1"/>
    <col min="15" max="15" width="8.6328125" customWidth="1"/>
    <col min="17" max="17" width="7.36328125" customWidth="1"/>
    <col min="18" max="18" width="11.08984375" customWidth="1"/>
  </cols>
  <sheetData>
    <row r="1" spans="1:18" ht="18.3" thickBot="1" x14ac:dyDescent="0.55000000000000004">
      <c r="A1" s="46" t="s">
        <v>0</v>
      </c>
      <c r="B1" s="51" t="s">
        <v>1</v>
      </c>
      <c r="C1" s="37" t="s">
        <v>2</v>
      </c>
      <c r="D1" s="38" t="s">
        <v>3</v>
      </c>
      <c r="E1" s="39" t="s">
        <v>58</v>
      </c>
      <c r="F1" s="40" t="s">
        <v>38</v>
      </c>
      <c r="G1" s="41" t="s">
        <v>4</v>
      </c>
      <c r="H1" s="42" t="s">
        <v>5</v>
      </c>
    </row>
    <row r="2" spans="1:18" ht="18.3" thickBot="1" x14ac:dyDescent="0.55000000000000004">
      <c r="A2" s="52">
        <v>45639</v>
      </c>
      <c r="B2" s="48" t="s">
        <v>97</v>
      </c>
      <c r="C2" s="48" t="s">
        <v>173</v>
      </c>
      <c r="D2" s="48" t="s">
        <v>252</v>
      </c>
      <c r="E2" s="48" t="s">
        <v>52</v>
      </c>
      <c r="F2" s="48"/>
      <c r="G2" s="48"/>
      <c r="H2" s="49" t="s">
        <v>258</v>
      </c>
      <c r="J2" s="61" t="s">
        <v>33</v>
      </c>
      <c r="K2" s="62"/>
      <c r="L2" s="63"/>
    </row>
    <row r="3" spans="1:18" x14ac:dyDescent="0.5">
      <c r="A3" s="53"/>
      <c r="B3" s="1"/>
      <c r="C3" s="1"/>
      <c r="D3" s="1"/>
      <c r="E3" s="1"/>
      <c r="F3" s="1"/>
      <c r="G3" s="1"/>
      <c r="H3" s="4"/>
      <c r="J3" s="23" t="s">
        <v>37</v>
      </c>
      <c r="K3" s="24" t="s">
        <v>39</v>
      </c>
      <c r="L3" s="25" t="s">
        <v>40</v>
      </c>
    </row>
    <row r="4" spans="1:18" ht="18.3" thickBot="1" x14ac:dyDescent="0.55000000000000004">
      <c r="A4" s="53"/>
      <c r="B4" s="1"/>
      <c r="C4" s="1"/>
      <c r="D4" s="1"/>
      <c r="E4" s="1"/>
      <c r="F4" s="1"/>
      <c r="G4" s="1"/>
      <c r="H4" s="4"/>
      <c r="J4" s="6">
        <f>COUNTA(A2:A120)</f>
        <v>1</v>
      </c>
      <c r="K4" s="7">
        <f>COUNTIF(E2:E120,"*×*")</f>
        <v>0</v>
      </c>
      <c r="L4" s="26">
        <f>IF(J4&lt;&gt;0, K4/J4, "-")</f>
        <v>0</v>
      </c>
    </row>
    <row r="5" spans="1:18" ht="18.3" thickBot="1" x14ac:dyDescent="0.55000000000000004">
      <c r="A5" s="53"/>
      <c r="B5" s="1"/>
      <c r="C5" s="1"/>
      <c r="D5" s="1"/>
      <c r="E5" s="1"/>
      <c r="F5" s="1"/>
      <c r="G5" s="1"/>
      <c r="H5" s="4"/>
    </row>
    <row r="6" spans="1:18" x14ac:dyDescent="0.5">
      <c r="A6" s="53"/>
      <c r="B6" s="1"/>
      <c r="C6" s="1"/>
      <c r="D6" s="1"/>
      <c r="E6" s="1"/>
      <c r="F6" s="1"/>
      <c r="G6" s="1"/>
      <c r="H6" s="4"/>
      <c r="J6" s="58" t="s">
        <v>41</v>
      </c>
      <c r="K6" s="59"/>
      <c r="L6" s="59"/>
      <c r="M6" s="59"/>
      <c r="N6" s="60"/>
      <c r="P6" s="45" t="s">
        <v>59</v>
      </c>
      <c r="Q6" s="45"/>
      <c r="R6" s="45"/>
    </row>
    <row r="7" spans="1:18" ht="18.3" thickBot="1" x14ac:dyDescent="0.55000000000000004">
      <c r="A7" s="53"/>
      <c r="B7" s="1"/>
      <c r="C7" s="1"/>
      <c r="D7" s="1"/>
      <c r="E7" s="1"/>
      <c r="F7" s="1"/>
      <c r="G7" s="1"/>
      <c r="H7" s="4"/>
      <c r="J7" s="16" t="s">
        <v>24</v>
      </c>
      <c r="K7" s="17" t="s">
        <v>23</v>
      </c>
      <c r="L7" s="17" t="s">
        <v>42</v>
      </c>
      <c r="M7" s="18" t="s">
        <v>41</v>
      </c>
      <c r="N7" s="19"/>
      <c r="P7" s="44" t="s">
        <v>32</v>
      </c>
      <c r="Q7" s="44" t="s">
        <v>57</v>
      </c>
      <c r="R7" s="1"/>
    </row>
    <row r="8" spans="1:18" x14ac:dyDescent="0.5">
      <c r="A8" s="53"/>
      <c r="B8" s="1"/>
      <c r="C8" s="1"/>
      <c r="D8" s="1"/>
      <c r="E8" s="1"/>
      <c r="F8" s="1"/>
      <c r="G8" s="1"/>
      <c r="H8" s="4"/>
      <c r="J8" s="12" t="s">
        <v>11</v>
      </c>
      <c r="K8" s="3">
        <f>COUNTIFS($A$1:$A$100,"&gt;=2024/1/1",$A$1:$A$100,"&lt;=2024/1/31")</f>
        <v>0</v>
      </c>
      <c r="L8" s="3">
        <f>COUNTIFS($A$1:$A$100,"&gt;=2024/1/1",$A$1:$A$100,"&lt;=2024/1/31",$E$1:$E$100,"×")</f>
        <v>0</v>
      </c>
      <c r="M8" s="71" t="str">
        <f>IFERROR(L8/K8, "-")</f>
        <v>-</v>
      </c>
      <c r="N8" s="72"/>
      <c r="P8" s="1" t="s">
        <v>9</v>
      </c>
      <c r="Q8" s="1" t="s">
        <v>55</v>
      </c>
      <c r="R8" s="1"/>
    </row>
    <row r="9" spans="1:18" x14ac:dyDescent="0.5">
      <c r="A9" s="53"/>
      <c r="B9" s="1"/>
      <c r="C9" s="1"/>
      <c r="D9" s="1"/>
      <c r="E9" s="1"/>
      <c r="F9" s="1"/>
      <c r="G9" s="1"/>
      <c r="H9" s="4"/>
      <c r="J9" s="5" t="s">
        <v>12</v>
      </c>
      <c r="K9" s="3">
        <f>COUNTIFS($A$1:$A$100,"&gt;=2024/2/1",$A$1:$A$100,"&lt;=2024/2/29")</f>
        <v>0</v>
      </c>
      <c r="L9" s="1">
        <f>COUNTIFS($A$1:$A$100,"&gt;=2024/2/1",$A$1:$A$100,"&lt;=2024/2/28",$E$1:$E$100,"×")</f>
        <v>0</v>
      </c>
      <c r="M9" s="73" t="str">
        <f t="shared" ref="M9:M19" si="0">IFERROR(L9/K9, "-")</f>
        <v>-</v>
      </c>
      <c r="N9" s="74"/>
      <c r="P9" s="1" t="s">
        <v>48</v>
      </c>
      <c r="Q9" s="1" t="s">
        <v>56</v>
      </c>
      <c r="R9" s="1"/>
    </row>
    <row r="10" spans="1:18" x14ac:dyDescent="0.5">
      <c r="A10" s="5"/>
      <c r="B10" s="1"/>
      <c r="C10" s="1"/>
      <c r="D10" s="1"/>
      <c r="E10" s="1"/>
      <c r="F10" s="1"/>
      <c r="G10" s="1"/>
      <c r="H10" s="4"/>
      <c r="J10" s="5" t="s">
        <v>13</v>
      </c>
      <c r="K10" s="3">
        <f>COUNTIFS($A$1:$A$100,"&gt;=2024/3/1",$A$1:$A$100,"&lt;=2024/3/31")</f>
        <v>0</v>
      </c>
      <c r="L10" s="1">
        <f>COUNTIFS($A$1:$A$100,"&gt;=2024/3/1",$A$1:$A$100,"&lt;=2024/3/31",$E$1:$E$100,"×")</f>
        <v>0</v>
      </c>
      <c r="M10" s="73" t="str">
        <f t="shared" si="0"/>
        <v>-</v>
      </c>
      <c r="N10" s="74"/>
    </row>
    <row r="11" spans="1:18" x14ac:dyDescent="0.5">
      <c r="A11" s="5"/>
      <c r="B11" s="1"/>
      <c r="C11" s="1"/>
      <c r="D11" s="1"/>
      <c r="E11" s="1"/>
      <c r="F11" s="1"/>
      <c r="G11" s="1"/>
      <c r="H11" s="4"/>
      <c r="J11" s="5" t="s">
        <v>14</v>
      </c>
      <c r="K11" s="3">
        <f>COUNTIFS($A$1:$A$100,"&gt;=2024/4/1",$A$1:$A$100,"&lt;=2024/4/30")</f>
        <v>0</v>
      </c>
      <c r="L11" s="1">
        <f>COUNTIFS($A$1:$A$100,"&gt;=2024/4/1",$A$1:$A$100,"&lt;=2024/4/30",$E$1:$E$100,"×")</f>
        <v>0</v>
      </c>
      <c r="M11" s="73" t="str">
        <f t="shared" si="0"/>
        <v>-</v>
      </c>
      <c r="N11" s="74"/>
    </row>
    <row r="12" spans="1:18" x14ac:dyDescent="0.5">
      <c r="A12" s="14"/>
      <c r="B12" s="1"/>
      <c r="C12" s="3"/>
      <c r="D12" s="3"/>
      <c r="E12" s="1"/>
      <c r="F12" s="3"/>
      <c r="G12" s="3"/>
      <c r="H12" s="13"/>
      <c r="J12" s="5" t="s">
        <v>15</v>
      </c>
      <c r="K12" s="1">
        <f>COUNTIFS($A$1:$A$100,"&gt;=2024/5/1",$A$1:$A$100,"&lt;=2024/5/31")</f>
        <v>0</v>
      </c>
      <c r="L12" s="1">
        <f>COUNTIFS($A$1:$A$100,"&gt;=2024/5/1",$A$1:$A$100,"&lt;=2024/5/31",$E$1:$E$100,"×")</f>
        <v>0</v>
      </c>
      <c r="M12" s="73" t="str">
        <f t="shared" si="0"/>
        <v>-</v>
      </c>
      <c r="N12" s="74"/>
    </row>
    <row r="13" spans="1:18" x14ac:dyDescent="0.5">
      <c r="A13" s="9"/>
      <c r="B13" s="1"/>
      <c r="C13" s="1"/>
      <c r="D13" s="1"/>
      <c r="E13" s="1"/>
      <c r="F13" s="1"/>
      <c r="G13" s="1"/>
      <c r="H13" s="4"/>
      <c r="J13" s="5" t="s">
        <v>16</v>
      </c>
      <c r="K13" s="1">
        <f>COUNTIFS($A$1:$A$100,"&gt;=2024/6/1",$A$1:$A$100,"&lt;=2024/6/30")</f>
        <v>0</v>
      </c>
      <c r="L13" s="1">
        <f>COUNTIFS($A$1:$A$100,"&gt;=2024/6/1",$A$1:$A$100,"&lt;=2024/6/31",$E$1:$E$100,"×")</f>
        <v>0</v>
      </c>
      <c r="M13" s="73" t="str">
        <f t="shared" si="0"/>
        <v>-</v>
      </c>
      <c r="N13" s="74"/>
    </row>
    <row r="14" spans="1:18" x14ac:dyDescent="0.5">
      <c r="A14" s="9"/>
      <c r="B14" s="1"/>
      <c r="C14" s="1"/>
      <c r="D14" s="1"/>
      <c r="E14" s="1"/>
      <c r="F14" s="1"/>
      <c r="G14" s="1"/>
      <c r="H14" s="4"/>
      <c r="J14" s="5" t="s">
        <v>17</v>
      </c>
      <c r="K14" s="1">
        <f>COUNTIFS($A$1:$A$100,"&gt;=2024/7/1",$A$1:$A$100,"&lt;=2024/7/31")</f>
        <v>0</v>
      </c>
      <c r="L14" s="1">
        <f>COUNTIFS($A$1:$A$100,"&gt;=2024/7/1",$A$1:$A$100,"&lt;=2024/7/31",$E$1:$E$100,"×")</f>
        <v>0</v>
      </c>
      <c r="M14" s="73" t="str">
        <f t="shared" si="0"/>
        <v>-</v>
      </c>
      <c r="N14" s="74"/>
    </row>
    <row r="15" spans="1:18" x14ac:dyDescent="0.5">
      <c r="A15" s="9"/>
      <c r="B15" s="1"/>
      <c r="C15" s="1"/>
      <c r="D15" s="1"/>
      <c r="E15" s="1"/>
      <c r="F15" s="1"/>
      <c r="G15" s="1"/>
      <c r="H15" s="4"/>
      <c r="J15" s="5" t="s">
        <v>18</v>
      </c>
      <c r="K15" s="1">
        <f>COUNTIFS($A$1:$A$100,"&gt;=2024/8/1",$A$1:$A$100,"&lt;=2024/8/31")</f>
        <v>0</v>
      </c>
      <c r="L15" s="1">
        <f>COUNTIFS($A$1:$A$100,"&gt;=2024/8/1",$A$1:$A$100,"&lt;=2024/8/31",$E$1:$E$100,"×")</f>
        <v>0</v>
      </c>
      <c r="M15" s="73" t="str">
        <f t="shared" si="0"/>
        <v>-</v>
      </c>
      <c r="N15" s="74"/>
    </row>
    <row r="16" spans="1:18" x14ac:dyDescent="0.5">
      <c r="A16" s="9"/>
      <c r="B16" s="1"/>
      <c r="C16" s="1"/>
      <c r="D16" s="1"/>
      <c r="E16" s="1"/>
      <c r="F16" s="1"/>
      <c r="G16" s="1"/>
      <c r="H16" s="4"/>
      <c r="J16" s="5" t="s">
        <v>19</v>
      </c>
      <c r="K16" s="1">
        <f>COUNTIFS($A$1:$A$100,"&gt;=2024/9/1",$A$1:$A$100,"&lt;=2024/9/30")</f>
        <v>0</v>
      </c>
      <c r="L16" s="1">
        <f>COUNTIFS($A$1:$A$100,"&gt;=2024/9/1",$A$1:$A$100,"&lt;=2024/9/30",$E$1:$E$100,"×")</f>
        <v>0</v>
      </c>
      <c r="M16" s="73" t="str">
        <f t="shared" si="0"/>
        <v>-</v>
      </c>
      <c r="N16" s="74"/>
    </row>
    <row r="17" spans="1:14" x14ac:dyDescent="0.5">
      <c r="A17" s="9"/>
      <c r="B17" s="1"/>
      <c r="C17" s="1"/>
      <c r="D17" s="1"/>
      <c r="E17" s="1"/>
      <c r="F17" s="1"/>
      <c r="G17" s="1"/>
      <c r="H17" s="4"/>
      <c r="J17" s="5" t="s">
        <v>20</v>
      </c>
      <c r="K17" s="1">
        <f>COUNTIFS($A$1:$A$100,"&gt;=2024/10/1",$A$1:$A$100,"&lt;=2024/10/31")</f>
        <v>0</v>
      </c>
      <c r="L17" s="1">
        <f>COUNTIFS($A$1:$A$100,"&gt;=2024/9/1",$A$1:$A$100,"&lt;=2024/9/30",$E$1:$E$100,"×")</f>
        <v>0</v>
      </c>
      <c r="M17" s="73" t="str">
        <f t="shared" si="0"/>
        <v>-</v>
      </c>
      <c r="N17" s="74"/>
    </row>
    <row r="18" spans="1:14" x14ac:dyDescent="0.5">
      <c r="A18" s="9"/>
      <c r="B18" s="1"/>
      <c r="C18" s="1"/>
      <c r="D18" s="1"/>
      <c r="E18" s="1"/>
      <c r="F18" s="1"/>
      <c r="G18" s="1"/>
      <c r="H18" s="4"/>
      <c r="J18" s="5" t="s">
        <v>21</v>
      </c>
      <c r="K18" s="1">
        <f>COUNTIFS($A$1:$A$100,"&gt;=2024/11/1",$A$1:$A$100,"&lt;=2024/11/30")</f>
        <v>0</v>
      </c>
      <c r="L18" s="1">
        <f>COUNTIFS($A$1:$A$100,"&gt;=2024/11/1",$A$1:$A$100,"&lt;=2024/11/30",$E$1:$E$100,"×")</f>
        <v>0</v>
      </c>
      <c r="M18" s="73" t="str">
        <f t="shared" si="0"/>
        <v>-</v>
      </c>
      <c r="N18" s="74"/>
    </row>
    <row r="19" spans="1:14" ht="18.3" thickBot="1" x14ac:dyDescent="0.55000000000000004">
      <c r="A19" s="9"/>
      <c r="B19" s="1"/>
      <c r="C19" s="1"/>
      <c r="D19" s="1"/>
      <c r="E19" s="1"/>
      <c r="F19" s="1"/>
      <c r="G19" s="1"/>
      <c r="H19" s="4"/>
      <c r="J19" s="6" t="s">
        <v>22</v>
      </c>
      <c r="K19" s="7">
        <f>COUNTIFS($A$1:$A$100,"&gt;=2024/12/1",$A$1:$A$100,"&lt;=2024/12/31")</f>
        <v>1</v>
      </c>
      <c r="L19" s="7">
        <f>COUNTIFS($A$1:$A$100,"&gt;=2024/12/1",$A$1:$A$100,"&lt;=2024/12/31",$E$1:$E$100,"×")</f>
        <v>0</v>
      </c>
      <c r="M19" s="75">
        <f t="shared" si="0"/>
        <v>0</v>
      </c>
      <c r="N19" s="76"/>
    </row>
    <row r="20" spans="1:14" ht="18.3" thickBot="1" x14ac:dyDescent="0.55000000000000004">
      <c r="A20" s="9"/>
      <c r="B20" s="1"/>
      <c r="C20" s="1"/>
      <c r="D20" s="1"/>
      <c r="E20" s="1"/>
      <c r="F20" s="1"/>
      <c r="G20" s="1"/>
      <c r="H20" s="4"/>
    </row>
    <row r="21" spans="1:14" x14ac:dyDescent="0.5">
      <c r="A21" s="9"/>
      <c r="B21" s="1"/>
      <c r="C21" s="1"/>
      <c r="D21" s="1"/>
      <c r="E21" s="1"/>
      <c r="F21" s="1"/>
      <c r="G21" s="1"/>
      <c r="H21" s="4"/>
      <c r="J21" s="64" t="s">
        <v>34</v>
      </c>
      <c r="K21" s="65"/>
      <c r="L21" s="65"/>
      <c r="M21" s="65"/>
      <c r="N21" s="66"/>
    </row>
    <row r="22" spans="1:14" ht="18.3" thickBot="1" x14ac:dyDescent="0.55000000000000004">
      <c r="A22" s="9"/>
      <c r="B22" s="1"/>
      <c r="C22" s="1"/>
      <c r="D22" s="1"/>
      <c r="E22" s="1"/>
      <c r="F22" s="1"/>
      <c r="G22" s="1"/>
      <c r="H22" s="4"/>
      <c r="J22" s="20" t="s">
        <v>25</v>
      </c>
      <c r="K22" s="21"/>
      <c r="L22" s="22" t="s">
        <v>31</v>
      </c>
      <c r="M22" s="69" t="s">
        <v>54</v>
      </c>
      <c r="N22" s="70"/>
    </row>
    <row r="23" spans="1:14" x14ac:dyDescent="0.5">
      <c r="A23" s="9"/>
      <c r="B23" s="1"/>
      <c r="C23" s="1"/>
      <c r="D23" s="1"/>
      <c r="E23" s="1"/>
      <c r="F23" s="1"/>
      <c r="G23" s="1"/>
      <c r="H23" s="4"/>
      <c r="J23" s="14" t="s">
        <v>29</v>
      </c>
      <c r="K23" s="15"/>
      <c r="L23" s="3">
        <f>COUNTIF(F:F, "介入理由が無い、なくなった（症状改善等）")</f>
        <v>0</v>
      </c>
      <c r="M23" s="67" t="str">
        <f>IFERROR(L23/K$4, "-")</f>
        <v>-</v>
      </c>
      <c r="N23" s="68"/>
    </row>
    <row r="24" spans="1:14" x14ac:dyDescent="0.5">
      <c r="A24" s="9"/>
      <c r="B24" s="1"/>
      <c r="C24" s="1"/>
      <c r="D24" s="1"/>
      <c r="E24" s="1"/>
      <c r="F24" s="1"/>
      <c r="G24" s="1"/>
      <c r="H24" s="4"/>
      <c r="J24" s="9" t="s">
        <v>30</v>
      </c>
      <c r="K24" s="2"/>
      <c r="L24" s="1">
        <f>COUNTIF(F:F, "介入に嫌悪・不安感（心理的ハードル）")</f>
        <v>0</v>
      </c>
      <c r="M24" s="67" t="str">
        <f t="shared" ref="M24:M27" si="1">IFERROR(L24/K$4, "-")</f>
        <v>-</v>
      </c>
      <c r="N24" s="68"/>
    </row>
    <row r="25" spans="1:14" x14ac:dyDescent="0.5">
      <c r="A25" s="9"/>
      <c r="B25" s="1"/>
      <c r="C25" s="1"/>
      <c r="D25" s="1"/>
      <c r="E25" s="1"/>
      <c r="F25" s="1"/>
      <c r="G25" s="1"/>
      <c r="H25" s="4"/>
      <c r="J25" s="9" t="s">
        <v>26</v>
      </c>
      <c r="K25" s="2"/>
      <c r="L25" s="1">
        <f>COUNTIF(F:F, "入院・他施設への入居・ご逝去（不可抗力）")</f>
        <v>0</v>
      </c>
      <c r="M25" s="67" t="str">
        <f t="shared" si="1"/>
        <v>-</v>
      </c>
      <c r="N25" s="68"/>
    </row>
    <row r="26" spans="1:14" x14ac:dyDescent="0.5">
      <c r="A26" s="9"/>
      <c r="B26" s="1"/>
      <c r="C26" s="1"/>
      <c r="D26" s="1"/>
      <c r="E26" s="1"/>
      <c r="F26" s="1"/>
      <c r="G26" s="1"/>
      <c r="H26" s="4"/>
      <c r="J26" s="9" t="s">
        <v>28</v>
      </c>
      <c r="K26" s="2"/>
      <c r="L26" s="1">
        <f>COUNTIF(F:F, "指示書を出してもらえず")</f>
        <v>0</v>
      </c>
      <c r="M26" s="67" t="str">
        <f t="shared" si="1"/>
        <v>-</v>
      </c>
      <c r="N26" s="68"/>
    </row>
    <row r="27" spans="1:14" ht="18.3" thickBot="1" x14ac:dyDescent="0.55000000000000004">
      <c r="A27" s="9"/>
      <c r="B27" s="1"/>
      <c r="C27" s="1"/>
      <c r="D27" s="1"/>
      <c r="E27" s="1"/>
      <c r="F27" s="1"/>
      <c r="G27" s="1"/>
      <c r="H27" s="4"/>
      <c r="J27" s="10" t="s">
        <v>27</v>
      </c>
      <c r="K27" s="11"/>
      <c r="L27" s="7">
        <f>COUNTIF(F:F, "その他")</f>
        <v>0</v>
      </c>
      <c r="M27" s="83" t="str">
        <f t="shared" si="1"/>
        <v>-</v>
      </c>
      <c r="N27" s="84"/>
    </row>
    <row r="28" spans="1:14" ht="18.3" thickBot="1" x14ac:dyDescent="0.55000000000000004">
      <c r="A28" s="9"/>
      <c r="B28" s="1"/>
      <c r="C28" s="1"/>
      <c r="D28" s="1"/>
      <c r="E28" s="1"/>
      <c r="F28" s="1"/>
      <c r="G28" s="1"/>
      <c r="H28" s="4"/>
    </row>
    <row r="29" spans="1:14" x14ac:dyDescent="0.5">
      <c r="A29" s="9"/>
      <c r="B29" s="1"/>
      <c r="C29" s="1"/>
      <c r="D29" s="1"/>
      <c r="E29" s="1"/>
      <c r="F29" s="1"/>
      <c r="G29" s="1"/>
      <c r="H29" s="4"/>
      <c r="J29" s="80" t="s">
        <v>66</v>
      </c>
      <c r="K29" s="81"/>
      <c r="L29" s="82"/>
    </row>
    <row r="30" spans="1:14" ht="18.3" thickBot="1" x14ac:dyDescent="0.55000000000000004">
      <c r="A30" s="9"/>
      <c r="B30" s="1"/>
      <c r="C30" s="1"/>
      <c r="D30" s="1"/>
      <c r="E30" s="1"/>
      <c r="F30" s="1"/>
      <c r="G30" s="1"/>
      <c r="H30" s="4"/>
      <c r="J30" s="28" t="s">
        <v>35</v>
      </c>
      <c r="K30" s="29" t="s">
        <v>31</v>
      </c>
      <c r="L30" s="30" t="s">
        <v>43</v>
      </c>
    </row>
    <row r="31" spans="1:14" x14ac:dyDescent="0.5">
      <c r="A31" s="9"/>
      <c r="B31" s="1"/>
      <c r="C31" s="1"/>
      <c r="D31" s="1"/>
      <c r="E31" s="1"/>
      <c r="F31" s="1"/>
      <c r="G31" s="1"/>
      <c r="H31" s="4"/>
      <c r="J31" s="12" t="s">
        <v>6</v>
      </c>
      <c r="K31" s="3">
        <f>COUNTIF(H:H, "医療")</f>
        <v>0</v>
      </c>
      <c r="L31" s="27">
        <f>IFERROR(K31/J$4, "-")</f>
        <v>0</v>
      </c>
    </row>
    <row r="32" spans="1:14" x14ac:dyDescent="0.5">
      <c r="A32" s="9"/>
      <c r="B32" s="1"/>
      <c r="C32" s="1"/>
      <c r="D32" s="1"/>
      <c r="E32" s="1"/>
      <c r="F32" s="1"/>
      <c r="G32" s="1"/>
      <c r="H32" s="4"/>
      <c r="J32" s="5" t="s">
        <v>7</v>
      </c>
      <c r="K32" s="1">
        <f>COUNTIF(H:H, "介護")</f>
        <v>1</v>
      </c>
      <c r="L32" s="27">
        <f>IFERROR(K32/J$4, "-")</f>
        <v>1</v>
      </c>
    </row>
    <row r="33" spans="1:12" x14ac:dyDescent="0.5">
      <c r="A33" s="9"/>
      <c r="B33" s="1"/>
      <c r="C33" s="1"/>
      <c r="D33" s="1"/>
      <c r="E33" s="1"/>
      <c r="F33" s="1"/>
      <c r="G33" s="1"/>
      <c r="H33" s="4"/>
      <c r="J33" s="5" t="s">
        <v>36</v>
      </c>
      <c r="K33" s="1">
        <f>COUNTIF(H:H, "医・介")</f>
        <v>0</v>
      </c>
      <c r="L33" s="27">
        <f>IFERROR(K33/J$4, "-")</f>
        <v>0</v>
      </c>
    </row>
    <row r="34" spans="1:12" x14ac:dyDescent="0.5">
      <c r="A34" s="9"/>
      <c r="B34" s="1"/>
      <c r="C34" s="1"/>
      <c r="D34" s="1"/>
      <c r="E34" s="1"/>
      <c r="F34" s="1"/>
      <c r="G34" s="1"/>
      <c r="H34" s="4"/>
      <c r="J34" s="5" t="s">
        <v>8</v>
      </c>
      <c r="K34" s="1">
        <f>COUNTIF(H:H, "不明")</f>
        <v>0</v>
      </c>
      <c r="L34" s="27">
        <f>IFERROR(K34/J$4, "-")</f>
        <v>0</v>
      </c>
    </row>
    <row r="35" spans="1:12" ht="18.3" thickBot="1" x14ac:dyDescent="0.55000000000000004">
      <c r="A35" s="9"/>
      <c r="B35" s="1"/>
      <c r="C35" s="1"/>
      <c r="D35" s="1"/>
      <c r="E35" s="1"/>
      <c r="F35" s="1"/>
      <c r="G35" s="1"/>
      <c r="H35" s="4"/>
      <c r="J35" s="6" t="s">
        <v>10</v>
      </c>
      <c r="K35" s="7">
        <f>COUNTIF(H:H, "自費")</f>
        <v>0</v>
      </c>
      <c r="L35" s="31">
        <f>IFERROR(K35/J$4, "-")</f>
        <v>0</v>
      </c>
    </row>
    <row r="36" spans="1:12" x14ac:dyDescent="0.5">
      <c r="A36" s="9"/>
      <c r="B36" s="1"/>
      <c r="C36" s="1"/>
      <c r="D36" s="1"/>
      <c r="E36" s="1"/>
      <c r="F36" s="1"/>
      <c r="G36" s="1"/>
      <c r="H36" s="4"/>
    </row>
    <row r="37" spans="1:12" x14ac:dyDescent="0.5">
      <c r="A37" s="9"/>
      <c r="B37" s="1"/>
      <c r="C37" s="1"/>
      <c r="D37" s="1"/>
      <c r="E37" s="1"/>
      <c r="F37" s="1"/>
      <c r="G37" s="1"/>
      <c r="H37" s="4"/>
    </row>
    <row r="38" spans="1:12" x14ac:dyDescent="0.5">
      <c r="A38" s="9"/>
      <c r="B38" s="1"/>
      <c r="C38" s="1"/>
      <c r="D38" s="1"/>
      <c r="E38" s="1"/>
      <c r="F38" s="1"/>
      <c r="G38" s="1"/>
      <c r="H38" s="4"/>
    </row>
    <row r="39" spans="1:12" x14ac:dyDescent="0.5">
      <c r="A39" s="9"/>
      <c r="B39" s="1"/>
      <c r="C39" s="1"/>
      <c r="D39" s="1"/>
      <c r="E39" s="1"/>
      <c r="F39" s="1"/>
      <c r="G39" s="1"/>
      <c r="H39" s="4"/>
    </row>
    <row r="40" spans="1:12" x14ac:dyDescent="0.5">
      <c r="A40" s="9"/>
      <c r="B40" s="1"/>
      <c r="C40" s="1"/>
      <c r="D40" s="1"/>
      <c r="E40" s="1"/>
      <c r="F40" s="1"/>
      <c r="G40" s="1"/>
      <c r="H40" s="4"/>
    </row>
    <row r="41" spans="1:12" x14ac:dyDescent="0.5">
      <c r="A41" s="9"/>
      <c r="B41" s="1"/>
      <c r="C41" s="1"/>
      <c r="D41" s="1"/>
      <c r="E41" s="1"/>
      <c r="F41" s="1"/>
      <c r="G41" s="1"/>
      <c r="H41" s="4"/>
    </row>
    <row r="42" spans="1:12" x14ac:dyDescent="0.5">
      <c r="A42" s="9"/>
      <c r="B42" s="1"/>
      <c r="C42" s="1"/>
      <c r="D42" s="1"/>
      <c r="E42" s="1"/>
      <c r="F42" s="1"/>
      <c r="G42" s="1"/>
      <c r="H42" s="4"/>
    </row>
    <row r="43" spans="1:12" x14ac:dyDescent="0.5">
      <c r="A43" s="9"/>
      <c r="B43" s="1"/>
      <c r="C43" s="1"/>
      <c r="D43" s="1"/>
      <c r="E43" s="1"/>
      <c r="F43" s="1"/>
      <c r="G43" s="1"/>
      <c r="H43" s="4"/>
    </row>
    <row r="44" spans="1:12" x14ac:dyDescent="0.5">
      <c r="A44" s="9"/>
      <c r="B44" s="1"/>
      <c r="C44" s="1"/>
      <c r="D44" s="1"/>
      <c r="E44" s="1"/>
      <c r="F44" s="1"/>
      <c r="G44" s="1"/>
      <c r="H44" s="4"/>
    </row>
    <row r="45" spans="1:12" x14ac:dyDescent="0.5">
      <c r="A45" s="9"/>
      <c r="B45" s="1"/>
      <c r="C45" s="1"/>
      <c r="D45" s="1"/>
      <c r="E45" s="1"/>
      <c r="F45" s="1"/>
      <c r="G45" s="1"/>
      <c r="H45" s="4"/>
    </row>
    <row r="46" spans="1:12" x14ac:dyDescent="0.5">
      <c r="A46" s="9"/>
      <c r="B46" s="1"/>
      <c r="C46" s="1"/>
      <c r="D46" s="1"/>
      <c r="E46" s="1"/>
      <c r="F46" s="1"/>
      <c r="G46" s="1"/>
      <c r="H46" s="4"/>
    </row>
    <row r="47" spans="1:12" x14ac:dyDescent="0.5">
      <c r="A47" s="9"/>
      <c r="B47" s="1"/>
      <c r="C47" s="1"/>
      <c r="D47" s="1"/>
      <c r="E47" s="1"/>
      <c r="F47" s="1"/>
      <c r="G47" s="1"/>
      <c r="H47" s="4"/>
    </row>
    <row r="48" spans="1:12" x14ac:dyDescent="0.5">
      <c r="A48" s="9"/>
      <c r="B48" s="1"/>
      <c r="C48" s="1"/>
      <c r="D48" s="1"/>
      <c r="E48" s="1"/>
      <c r="F48" s="1"/>
      <c r="G48" s="1"/>
      <c r="H48" s="4"/>
    </row>
    <row r="49" spans="1:8" x14ac:dyDescent="0.5">
      <c r="A49" s="9"/>
      <c r="B49" s="1"/>
      <c r="C49" s="1"/>
      <c r="D49" s="1"/>
      <c r="E49" s="1"/>
      <c r="F49" s="1"/>
      <c r="G49" s="1"/>
      <c r="H49" s="4"/>
    </row>
    <row r="50" spans="1:8" x14ac:dyDescent="0.5">
      <c r="A50" s="9"/>
      <c r="B50" s="1"/>
      <c r="C50" s="1"/>
      <c r="D50" s="1"/>
      <c r="E50" s="1"/>
      <c r="F50" s="1"/>
      <c r="G50" s="1"/>
      <c r="H50" s="4"/>
    </row>
    <row r="51" spans="1:8" x14ac:dyDescent="0.5">
      <c r="A51" s="9"/>
      <c r="B51" s="1"/>
      <c r="C51" s="1"/>
      <c r="D51" s="1"/>
      <c r="E51" s="1"/>
      <c r="F51" s="1"/>
      <c r="G51" s="1"/>
      <c r="H51" s="4"/>
    </row>
    <row r="52" spans="1:8" x14ac:dyDescent="0.5">
      <c r="A52" s="9"/>
      <c r="B52" s="1"/>
      <c r="C52" s="1"/>
      <c r="D52" s="1"/>
      <c r="E52" s="1"/>
      <c r="F52" s="1"/>
      <c r="G52" s="1"/>
      <c r="H52" s="4"/>
    </row>
    <row r="53" spans="1:8" x14ac:dyDescent="0.5">
      <c r="A53" s="9"/>
      <c r="B53" s="1"/>
      <c r="C53" s="1"/>
      <c r="D53" s="1"/>
      <c r="E53" s="1"/>
      <c r="F53" s="1"/>
      <c r="G53" s="1"/>
      <c r="H53" s="4"/>
    </row>
    <row r="54" spans="1:8" x14ac:dyDescent="0.5">
      <c r="A54" s="9"/>
      <c r="B54" s="1"/>
      <c r="C54" s="1"/>
      <c r="D54" s="1"/>
      <c r="E54" s="1"/>
      <c r="F54" s="1"/>
      <c r="G54" s="1"/>
      <c r="H54" s="4"/>
    </row>
    <row r="55" spans="1:8" x14ac:dyDescent="0.5">
      <c r="A55" s="9"/>
      <c r="B55" s="1"/>
      <c r="C55" s="1"/>
      <c r="D55" s="1"/>
      <c r="E55" s="1"/>
      <c r="F55" s="1"/>
      <c r="G55" s="1"/>
      <c r="H55" s="4"/>
    </row>
    <row r="56" spans="1:8" x14ac:dyDescent="0.5">
      <c r="A56" s="9"/>
      <c r="B56" s="1"/>
      <c r="C56" s="1"/>
      <c r="D56" s="1"/>
      <c r="E56" s="1"/>
      <c r="F56" s="1"/>
      <c r="G56" s="1"/>
      <c r="H56" s="4"/>
    </row>
    <row r="57" spans="1:8" x14ac:dyDescent="0.5">
      <c r="A57" s="9"/>
      <c r="B57" s="1"/>
      <c r="C57" s="1"/>
      <c r="D57" s="1"/>
      <c r="E57" s="1"/>
      <c r="F57" s="1"/>
      <c r="G57" s="1"/>
      <c r="H57" s="4"/>
    </row>
    <row r="58" spans="1:8" x14ac:dyDescent="0.5">
      <c r="A58" s="9"/>
      <c r="B58" s="1"/>
      <c r="C58" s="1"/>
      <c r="D58" s="1"/>
      <c r="E58" s="1"/>
      <c r="F58" s="1"/>
      <c r="G58" s="1"/>
      <c r="H58" s="4"/>
    </row>
    <row r="59" spans="1:8" x14ac:dyDescent="0.5">
      <c r="A59" s="9"/>
      <c r="B59" s="1"/>
      <c r="C59" s="1"/>
      <c r="D59" s="1"/>
      <c r="E59" s="1"/>
      <c r="F59" s="1"/>
      <c r="G59" s="1"/>
      <c r="H59" s="4"/>
    </row>
    <row r="60" spans="1:8" x14ac:dyDescent="0.5">
      <c r="A60" s="9"/>
      <c r="B60" s="1"/>
      <c r="C60" s="1"/>
      <c r="D60" s="1"/>
      <c r="E60" s="1"/>
      <c r="F60" s="1"/>
      <c r="G60" s="1"/>
      <c r="H60" s="4"/>
    </row>
    <row r="61" spans="1:8" x14ac:dyDescent="0.5">
      <c r="A61" s="9"/>
      <c r="B61" s="1"/>
      <c r="C61" s="1"/>
      <c r="D61" s="1"/>
      <c r="E61" s="1"/>
      <c r="F61" s="1"/>
      <c r="G61" s="1"/>
      <c r="H61" s="4"/>
    </row>
    <row r="62" spans="1:8" x14ac:dyDescent="0.5">
      <c r="A62" s="9"/>
      <c r="B62" s="1"/>
      <c r="C62" s="1"/>
      <c r="D62" s="1"/>
      <c r="E62" s="1"/>
      <c r="F62" s="1"/>
      <c r="G62" s="1"/>
      <c r="H62" s="4"/>
    </row>
    <row r="63" spans="1:8" x14ac:dyDescent="0.5">
      <c r="A63" s="9"/>
      <c r="B63" s="1"/>
      <c r="C63" s="1"/>
      <c r="D63" s="1"/>
      <c r="E63" s="1"/>
      <c r="F63" s="1"/>
      <c r="G63" s="1"/>
      <c r="H63" s="4"/>
    </row>
    <row r="64" spans="1:8" x14ac:dyDescent="0.5">
      <c r="A64" s="9"/>
      <c r="B64" s="1"/>
      <c r="C64" s="1"/>
      <c r="D64" s="1"/>
      <c r="E64" s="1"/>
      <c r="F64" s="1"/>
      <c r="G64" s="1"/>
      <c r="H64" s="4"/>
    </row>
    <row r="65" spans="1:8" x14ac:dyDescent="0.5">
      <c r="A65" s="9"/>
      <c r="B65" s="1"/>
      <c r="C65" s="1"/>
      <c r="D65" s="1"/>
      <c r="E65" s="1"/>
      <c r="F65" s="1"/>
      <c r="G65" s="1"/>
      <c r="H65" s="4"/>
    </row>
    <row r="66" spans="1:8" x14ac:dyDescent="0.5">
      <c r="A66" s="9"/>
      <c r="B66" s="1"/>
      <c r="C66" s="1"/>
      <c r="D66" s="1"/>
      <c r="E66" s="1"/>
      <c r="F66" s="1"/>
      <c r="G66" s="1"/>
      <c r="H66" s="4"/>
    </row>
    <row r="67" spans="1:8" x14ac:dyDescent="0.5">
      <c r="A67" s="9"/>
      <c r="B67" s="1"/>
      <c r="C67" s="1"/>
      <c r="D67" s="1"/>
      <c r="E67" s="1"/>
      <c r="F67" s="1"/>
      <c r="G67" s="1"/>
      <c r="H67" s="4"/>
    </row>
    <row r="68" spans="1:8" x14ac:dyDescent="0.5">
      <c r="A68" s="9"/>
      <c r="B68" s="1"/>
      <c r="C68" s="1"/>
      <c r="D68" s="1"/>
      <c r="E68" s="1"/>
      <c r="F68" s="1"/>
      <c r="G68" s="1"/>
      <c r="H68" s="4"/>
    </row>
    <row r="69" spans="1:8" x14ac:dyDescent="0.5">
      <c r="A69" s="9"/>
      <c r="B69" s="1"/>
      <c r="C69" s="1"/>
      <c r="D69" s="1"/>
      <c r="E69" s="1"/>
      <c r="F69" s="1"/>
      <c r="G69" s="1"/>
      <c r="H69" s="4"/>
    </row>
    <row r="70" spans="1:8" x14ac:dyDescent="0.5">
      <c r="A70" s="9"/>
      <c r="B70" s="1"/>
      <c r="C70" s="1"/>
      <c r="D70" s="1"/>
      <c r="E70" s="1"/>
      <c r="F70" s="1"/>
      <c r="G70" s="1"/>
      <c r="H70" s="4"/>
    </row>
    <row r="71" spans="1:8" x14ac:dyDescent="0.5">
      <c r="A71" s="9"/>
      <c r="B71" s="1"/>
      <c r="C71" s="1"/>
      <c r="D71" s="1"/>
      <c r="E71" s="1"/>
      <c r="F71" s="1"/>
      <c r="G71" s="1"/>
      <c r="H71" s="4"/>
    </row>
    <row r="72" spans="1:8" x14ac:dyDescent="0.5">
      <c r="A72" s="9"/>
      <c r="B72" s="1"/>
      <c r="C72" s="1"/>
      <c r="D72" s="1"/>
      <c r="E72" s="1"/>
      <c r="F72" s="1"/>
      <c r="G72" s="1"/>
      <c r="H72" s="4"/>
    </row>
    <row r="73" spans="1:8" x14ac:dyDescent="0.5">
      <c r="A73" s="9"/>
      <c r="B73" s="1"/>
      <c r="C73" s="1"/>
      <c r="D73" s="1"/>
      <c r="E73" s="1"/>
      <c r="F73" s="1"/>
      <c r="G73" s="1"/>
      <c r="H73" s="4"/>
    </row>
    <row r="74" spans="1:8" x14ac:dyDescent="0.5">
      <c r="A74" s="9"/>
      <c r="B74" s="1"/>
      <c r="C74" s="1"/>
      <c r="D74" s="1"/>
      <c r="E74" s="1"/>
      <c r="F74" s="1"/>
      <c r="G74" s="1"/>
      <c r="H74" s="4"/>
    </row>
    <row r="75" spans="1:8" x14ac:dyDescent="0.5">
      <c r="A75" s="9"/>
      <c r="B75" s="1"/>
      <c r="C75" s="1"/>
      <c r="D75" s="1"/>
      <c r="E75" s="1"/>
      <c r="F75" s="1"/>
      <c r="G75" s="1"/>
      <c r="H75" s="4"/>
    </row>
    <row r="76" spans="1:8" x14ac:dyDescent="0.5">
      <c r="A76" s="9"/>
      <c r="B76" s="1"/>
      <c r="C76" s="1"/>
      <c r="D76" s="1"/>
      <c r="E76" s="1"/>
      <c r="F76" s="1"/>
      <c r="G76" s="1"/>
      <c r="H76" s="4"/>
    </row>
    <row r="77" spans="1:8" x14ac:dyDescent="0.5">
      <c r="A77" s="9"/>
      <c r="B77" s="1"/>
      <c r="C77" s="1"/>
      <c r="D77" s="1"/>
      <c r="E77" s="1"/>
      <c r="F77" s="1"/>
      <c r="G77" s="1"/>
      <c r="H77" s="4"/>
    </row>
    <row r="78" spans="1:8" x14ac:dyDescent="0.5">
      <c r="A78" s="9"/>
      <c r="B78" s="1"/>
      <c r="C78" s="1"/>
      <c r="D78" s="1"/>
      <c r="E78" s="1"/>
      <c r="F78" s="1"/>
      <c r="G78" s="1"/>
      <c r="H78" s="4"/>
    </row>
    <row r="79" spans="1:8" x14ac:dyDescent="0.5">
      <c r="A79" s="9"/>
      <c r="B79" s="1"/>
      <c r="C79" s="1"/>
      <c r="D79" s="1"/>
      <c r="E79" s="1"/>
      <c r="F79" s="1"/>
      <c r="G79" s="1"/>
      <c r="H79" s="4"/>
    </row>
    <row r="80" spans="1:8" x14ac:dyDescent="0.5">
      <c r="A80" s="9"/>
      <c r="B80" s="1"/>
      <c r="C80" s="1"/>
      <c r="D80" s="1"/>
      <c r="E80" s="1"/>
      <c r="F80" s="1"/>
      <c r="G80" s="1"/>
      <c r="H80" s="4"/>
    </row>
    <row r="81" spans="1:8" x14ac:dyDescent="0.5">
      <c r="A81" s="9"/>
      <c r="B81" s="1"/>
      <c r="C81" s="1"/>
      <c r="D81" s="1"/>
      <c r="E81" s="1"/>
      <c r="F81" s="1"/>
      <c r="G81" s="1"/>
      <c r="H81" s="4"/>
    </row>
    <row r="82" spans="1:8" x14ac:dyDescent="0.5">
      <c r="A82" s="9"/>
      <c r="B82" s="1"/>
      <c r="C82" s="1"/>
      <c r="D82" s="1"/>
      <c r="E82" s="1"/>
      <c r="F82" s="1"/>
      <c r="G82" s="1"/>
      <c r="H82" s="4"/>
    </row>
    <row r="83" spans="1:8" x14ac:dyDescent="0.5">
      <c r="A83" s="9"/>
      <c r="B83" s="1"/>
      <c r="C83" s="1"/>
      <c r="D83" s="1"/>
      <c r="E83" s="1"/>
      <c r="F83" s="1"/>
      <c r="G83" s="1"/>
      <c r="H83" s="4"/>
    </row>
    <row r="84" spans="1:8" x14ac:dyDescent="0.5">
      <c r="A84" s="9"/>
      <c r="B84" s="1"/>
      <c r="C84" s="1"/>
      <c r="D84" s="1"/>
      <c r="E84" s="1"/>
      <c r="F84" s="1"/>
      <c r="G84" s="1"/>
      <c r="H84" s="4"/>
    </row>
    <row r="85" spans="1:8" x14ac:dyDescent="0.5">
      <c r="A85" s="9"/>
      <c r="B85" s="1"/>
      <c r="C85" s="1"/>
      <c r="D85" s="1"/>
      <c r="E85" s="1"/>
      <c r="F85" s="1"/>
      <c r="G85" s="1"/>
      <c r="H85" s="4"/>
    </row>
    <row r="86" spans="1:8" x14ac:dyDescent="0.5">
      <c r="A86" s="9"/>
      <c r="B86" s="1"/>
      <c r="C86" s="1"/>
      <c r="D86" s="1"/>
      <c r="E86" s="1"/>
      <c r="F86" s="1"/>
      <c r="G86" s="1"/>
      <c r="H86" s="4"/>
    </row>
    <row r="87" spans="1:8" x14ac:dyDescent="0.5">
      <c r="A87" s="9"/>
      <c r="B87" s="1"/>
      <c r="C87" s="1"/>
      <c r="D87" s="1"/>
      <c r="E87" s="1"/>
      <c r="F87" s="1"/>
      <c r="G87" s="1"/>
      <c r="H87" s="4"/>
    </row>
    <row r="88" spans="1:8" x14ac:dyDescent="0.5">
      <c r="A88" s="9"/>
      <c r="B88" s="1"/>
      <c r="C88" s="1"/>
      <c r="D88" s="1"/>
      <c r="E88" s="1"/>
      <c r="F88" s="1"/>
      <c r="G88" s="1"/>
      <c r="H88" s="4"/>
    </row>
    <row r="89" spans="1:8" x14ac:dyDescent="0.5">
      <c r="A89" s="9"/>
      <c r="B89" s="1"/>
      <c r="C89" s="1"/>
      <c r="D89" s="1"/>
      <c r="E89" s="1"/>
      <c r="F89" s="1"/>
      <c r="G89" s="1"/>
      <c r="H89" s="4"/>
    </row>
    <row r="90" spans="1:8" x14ac:dyDescent="0.5">
      <c r="A90" s="9"/>
      <c r="B90" s="1"/>
      <c r="C90" s="1"/>
      <c r="D90" s="1"/>
      <c r="E90" s="1"/>
      <c r="F90" s="1"/>
      <c r="G90" s="1"/>
      <c r="H90" s="4"/>
    </row>
    <row r="91" spans="1:8" x14ac:dyDescent="0.5">
      <c r="A91" s="9"/>
      <c r="B91" s="1"/>
      <c r="C91" s="1"/>
      <c r="D91" s="1"/>
      <c r="E91" s="1"/>
      <c r="F91" s="1"/>
      <c r="G91" s="1"/>
      <c r="H91" s="4"/>
    </row>
    <row r="92" spans="1:8" x14ac:dyDescent="0.5">
      <c r="A92" s="9"/>
      <c r="B92" s="1"/>
      <c r="C92" s="1"/>
      <c r="D92" s="1"/>
      <c r="E92" s="1"/>
      <c r="F92" s="1"/>
      <c r="G92" s="1"/>
      <c r="H92" s="4"/>
    </row>
    <row r="93" spans="1:8" x14ac:dyDescent="0.5">
      <c r="A93" s="9"/>
      <c r="B93" s="1"/>
      <c r="C93" s="1"/>
      <c r="D93" s="1"/>
      <c r="E93" s="1"/>
      <c r="F93" s="1"/>
      <c r="G93" s="1"/>
      <c r="H93" s="4"/>
    </row>
    <row r="94" spans="1:8" x14ac:dyDescent="0.5">
      <c r="A94" s="9"/>
      <c r="B94" s="1"/>
      <c r="C94" s="1"/>
      <c r="D94" s="1"/>
      <c r="E94" s="1"/>
      <c r="F94" s="1"/>
      <c r="G94" s="1"/>
      <c r="H94" s="4"/>
    </row>
    <row r="95" spans="1:8" x14ac:dyDescent="0.5">
      <c r="A95" s="9"/>
      <c r="B95" s="1"/>
      <c r="C95" s="1"/>
      <c r="D95" s="1"/>
      <c r="E95" s="1"/>
      <c r="F95" s="1"/>
      <c r="G95" s="1"/>
      <c r="H95" s="4"/>
    </row>
    <row r="96" spans="1:8" x14ac:dyDescent="0.5">
      <c r="A96" s="9"/>
      <c r="B96" s="1"/>
      <c r="C96" s="1"/>
      <c r="D96" s="1"/>
      <c r="E96" s="1"/>
      <c r="F96" s="1"/>
      <c r="G96" s="1"/>
      <c r="H96" s="4"/>
    </row>
    <row r="97" spans="1:8" x14ac:dyDescent="0.5">
      <c r="A97" s="9"/>
      <c r="B97" s="1"/>
      <c r="C97" s="1"/>
      <c r="D97" s="1"/>
      <c r="E97" s="1"/>
      <c r="F97" s="1"/>
      <c r="G97" s="1"/>
      <c r="H97" s="4"/>
    </row>
    <row r="98" spans="1:8" x14ac:dyDescent="0.5">
      <c r="A98" s="9"/>
      <c r="B98" s="1"/>
      <c r="C98" s="1"/>
      <c r="D98" s="1"/>
      <c r="E98" s="1"/>
      <c r="F98" s="1"/>
      <c r="G98" s="1"/>
      <c r="H98" s="4"/>
    </row>
    <row r="99" spans="1:8" x14ac:dyDescent="0.5">
      <c r="A99" s="9"/>
      <c r="B99" s="1"/>
      <c r="C99" s="1"/>
      <c r="D99" s="1"/>
      <c r="E99" s="1"/>
      <c r="F99" s="1"/>
      <c r="G99" s="1"/>
      <c r="H99" s="4"/>
    </row>
    <row r="100" spans="1:8" x14ac:dyDescent="0.5">
      <c r="A100" s="9"/>
      <c r="B100" s="1"/>
      <c r="C100" s="1"/>
      <c r="D100" s="1"/>
      <c r="E100" s="1"/>
      <c r="F100" s="1"/>
      <c r="G100" s="1"/>
      <c r="H100" s="4"/>
    </row>
    <row r="101" spans="1:8" x14ac:dyDescent="0.5">
      <c r="A101" s="9"/>
      <c r="B101" s="1"/>
      <c r="C101" s="1"/>
      <c r="D101" s="1"/>
      <c r="E101" s="1"/>
      <c r="F101" s="1"/>
      <c r="G101" s="1"/>
      <c r="H101" s="4"/>
    </row>
    <row r="102" spans="1:8" x14ac:dyDescent="0.5">
      <c r="A102" s="9"/>
      <c r="B102" s="1"/>
      <c r="C102" s="1"/>
      <c r="D102" s="1"/>
      <c r="E102" s="1"/>
      <c r="F102" s="1"/>
      <c r="G102" s="1"/>
      <c r="H102" s="4"/>
    </row>
    <row r="103" spans="1:8" x14ac:dyDescent="0.5">
      <c r="A103" s="9"/>
      <c r="B103" s="1"/>
      <c r="C103" s="1"/>
      <c r="D103" s="1"/>
      <c r="E103" s="1"/>
      <c r="F103" s="1"/>
      <c r="G103" s="1"/>
      <c r="H103" s="4"/>
    </row>
    <row r="104" spans="1:8" x14ac:dyDescent="0.5">
      <c r="A104" s="9"/>
      <c r="B104" s="1"/>
      <c r="C104" s="1"/>
      <c r="D104" s="1"/>
      <c r="E104" s="1"/>
      <c r="F104" s="1"/>
      <c r="G104" s="1"/>
      <c r="H104" s="4"/>
    </row>
    <row r="105" spans="1:8" x14ac:dyDescent="0.5">
      <c r="A105" s="9"/>
      <c r="B105" s="1"/>
      <c r="C105" s="1"/>
      <c r="D105" s="1"/>
      <c r="E105" s="1"/>
      <c r="F105" s="1"/>
      <c r="G105" s="1"/>
      <c r="H105" s="4"/>
    </row>
    <row r="106" spans="1:8" x14ac:dyDescent="0.5">
      <c r="A106" s="9"/>
      <c r="B106" s="1"/>
      <c r="C106" s="1"/>
      <c r="D106" s="1"/>
      <c r="E106" s="1"/>
      <c r="F106" s="1"/>
      <c r="G106" s="1"/>
      <c r="H106" s="4"/>
    </row>
    <row r="107" spans="1:8" x14ac:dyDescent="0.5">
      <c r="A107" s="9"/>
      <c r="B107" s="1"/>
      <c r="C107" s="1"/>
      <c r="D107" s="1"/>
      <c r="E107" s="1"/>
      <c r="F107" s="1"/>
      <c r="G107" s="1"/>
      <c r="H107" s="4"/>
    </row>
    <row r="108" spans="1:8" x14ac:dyDescent="0.5">
      <c r="A108" s="9"/>
      <c r="B108" s="1"/>
      <c r="C108" s="1"/>
      <c r="D108" s="1"/>
      <c r="E108" s="1"/>
      <c r="F108" s="1"/>
      <c r="G108" s="1"/>
      <c r="H108" s="4"/>
    </row>
    <row r="109" spans="1:8" x14ac:dyDescent="0.5">
      <c r="A109" s="9"/>
      <c r="B109" s="1"/>
      <c r="C109" s="1"/>
      <c r="D109" s="1"/>
      <c r="E109" s="1"/>
      <c r="F109" s="1"/>
      <c r="G109" s="1"/>
      <c r="H109" s="4"/>
    </row>
    <row r="110" spans="1:8" x14ac:dyDescent="0.5">
      <c r="A110" s="9"/>
      <c r="B110" s="1"/>
      <c r="C110" s="1"/>
      <c r="D110" s="1"/>
      <c r="E110" s="1"/>
      <c r="F110" s="1"/>
      <c r="G110" s="1"/>
      <c r="H110" s="4"/>
    </row>
    <row r="111" spans="1:8" x14ac:dyDescent="0.5">
      <c r="A111" s="9"/>
      <c r="B111" s="1"/>
      <c r="C111" s="1"/>
      <c r="D111" s="1"/>
      <c r="E111" s="1"/>
      <c r="F111" s="1"/>
      <c r="G111" s="1"/>
      <c r="H111" s="4"/>
    </row>
    <row r="112" spans="1:8" x14ac:dyDescent="0.5">
      <c r="A112" s="9"/>
      <c r="B112" s="1"/>
      <c r="C112" s="1"/>
      <c r="D112" s="1"/>
      <c r="E112" s="1"/>
      <c r="F112" s="1"/>
      <c r="G112" s="1"/>
      <c r="H112" s="4"/>
    </row>
    <row r="113" spans="1:8" x14ac:dyDescent="0.5">
      <c r="A113" s="9"/>
      <c r="B113" s="1"/>
      <c r="C113" s="1"/>
      <c r="D113" s="1"/>
      <c r="E113" s="1"/>
      <c r="F113" s="1"/>
      <c r="G113" s="1"/>
      <c r="H113" s="4"/>
    </row>
    <row r="114" spans="1:8" x14ac:dyDescent="0.5">
      <c r="A114" s="9"/>
      <c r="B114" s="1"/>
      <c r="C114" s="1"/>
      <c r="D114" s="1"/>
      <c r="E114" s="1"/>
      <c r="F114" s="1"/>
      <c r="G114" s="1"/>
      <c r="H114" s="4"/>
    </row>
    <row r="115" spans="1:8" x14ac:dyDescent="0.5">
      <c r="A115" s="9"/>
      <c r="B115" s="1"/>
      <c r="C115" s="1"/>
      <c r="D115" s="1"/>
      <c r="E115" s="1"/>
      <c r="F115" s="1"/>
      <c r="G115" s="1"/>
      <c r="H115" s="4"/>
    </row>
    <row r="116" spans="1:8" x14ac:dyDescent="0.5">
      <c r="A116" s="9"/>
      <c r="B116" s="1"/>
      <c r="C116" s="1"/>
      <c r="D116" s="1"/>
      <c r="E116" s="1"/>
      <c r="F116" s="1"/>
      <c r="G116" s="1"/>
      <c r="H116" s="4"/>
    </row>
    <row r="117" spans="1:8" x14ac:dyDescent="0.5">
      <c r="A117" s="9"/>
      <c r="B117" s="1"/>
      <c r="C117" s="1"/>
      <c r="D117" s="1"/>
      <c r="E117" s="1"/>
      <c r="F117" s="1"/>
      <c r="G117" s="1"/>
      <c r="H117" s="4"/>
    </row>
    <row r="118" spans="1:8" x14ac:dyDescent="0.5">
      <c r="A118" s="9"/>
      <c r="B118" s="1"/>
      <c r="C118" s="1"/>
      <c r="D118" s="1"/>
      <c r="E118" s="1"/>
      <c r="F118" s="1"/>
      <c r="G118" s="1"/>
      <c r="H118" s="4"/>
    </row>
    <row r="119" spans="1:8" x14ac:dyDescent="0.5">
      <c r="A119" s="9"/>
      <c r="B119" s="1"/>
      <c r="C119" s="1"/>
      <c r="D119" s="1"/>
      <c r="E119" s="1"/>
      <c r="F119" s="1"/>
      <c r="G119" s="1"/>
      <c r="H119" s="4"/>
    </row>
    <row r="120" spans="1:8" x14ac:dyDescent="0.5">
      <c r="A120" s="9"/>
      <c r="B120" s="1"/>
      <c r="C120" s="1"/>
      <c r="D120" s="1"/>
      <c r="E120" s="1"/>
      <c r="F120" s="1"/>
      <c r="G120" s="1"/>
      <c r="H120" s="4"/>
    </row>
    <row r="121" spans="1:8" ht="18.3" thickBot="1" x14ac:dyDescent="0.55000000000000004">
      <c r="A121" s="10"/>
      <c r="B121" s="7"/>
      <c r="C121" s="7"/>
      <c r="D121" s="7"/>
      <c r="E121" s="7"/>
      <c r="F121" s="7"/>
      <c r="G121" s="7"/>
      <c r="H121" s="8"/>
    </row>
  </sheetData>
  <mergeCells count="22">
    <mergeCell ref="M25:N25"/>
    <mergeCell ref="M26:N26"/>
    <mergeCell ref="M27:N27"/>
    <mergeCell ref="J29:L29"/>
    <mergeCell ref="M18:N18"/>
    <mergeCell ref="M19:N19"/>
    <mergeCell ref="J21:N21"/>
    <mergeCell ref="M22:N22"/>
    <mergeCell ref="M23:N23"/>
    <mergeCell ref="M24:N24"/>
    <mergeCell ref="M12:N12"/>
    <mergeCell ref="M13:N13"/>
    <mergeCell ref="M14:N14"/>
    <mergeCell ref="M15:N15"/>
    <mergeCell ref="M16:N16"/>
    <mergeCell ref="M17:N17"/>
    <mergeCell ref="J2:L2"/>
    <mergeCell ref="J6:N6"/>
    <mergeCell ref="M8:N8"/>
    <mergeCell ref="M9:N9"/>
    <mergeCell ref="M10:N10"/>
    <mergeCell ref="M11:N11"/>
  </mergeCells>
  <phoneticPr fontId="1"/>
  <dataValidations count="3">
    <dataValidation type="list" allowBlank="1" showInputMessage="1" showErrorMessage="1" sqref="E2:E121" xr:uid="{4076EC60-3686-4EC2-8BFF-528288E774E5}">
      <formula1>$P$7:$P$9</formula1>
    </dataValidation>
    <dataValidation type="list" allowBlank="1" showInputMessage="1" showErrorMessage="1" sqref="H2:H121" xr:uid="{73941657-EF7D-403C-8A03-82426775E058}">
      <formula1>$J$31:$J$35</formula1>
    </dataValidation>
    <dataValidation type="list" allowBlank="1" showInputMessage="1" showErrorMessage="1" sqref="F2:F121" xr:uid="{6C826B85-212B-4B1A-AA9C-0A040692DDE1}">
      <formula1>$J$23:$J$27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33</vt:i4>
      </vt:variant>
    </vt:vector>
  </HeadingPairs>
  <TitlesOfParts>
    <vt:vector size="33" baseType="lpstr">
      <vt:lpstr>仕様書</vt:lpstr>
      <vt:lpstr>ALL</vt:lpstr>
      <vt:lpstr>原本</vt:lpstr>
      <vt:lpstr>かげのは在宅ケアセンター</vt:lpstr>
      <vt:lpstr>白峰ヶ丘ケアプラン</vt:lpstr>
      <vt:lpstr>いしかげ訪問サポート</vt:lpstr>
      <vt:lpstr>南条市総合ヘルス医療センター</vt:lpstr>
      <vt:lpstr>森ノ根ホームケア</vt:lpstr>
      <vt:lpstr>霞野の里ケアサービス</vt:lpstr>
      <vt:lpstr>居宅サポート わかな</vt:lpstr>
      <vt:lpstr>天ヶ杜在宅ケアステーション</vt:lpstr>
      <vt:lpstr>桜苑みづき</vt:lpstr>
      <vt:lpstr>菜野かほり</vt:lpstr>
      <vt:lpstr>ハーモニアやさと</vt:lpstr>
      <vt:lpstr>総合メンタルケアセンター ひなぎ</vt:lpstr>
      <vt:lpstr>羽根町くらし包括支援センター</vt:lpstr>
      <vt:lpstr>イトウファーマリンク</vt:lpstr>
      <vt:lpstr>市立南条中央病院</vt:lpstr>
      <vt:lpstr>桜英みずき苑</vt:lpstr>
      <vt:lpstr>フォーエバーライフケア</vt:lpstr>
      <vt:lpstr>シグナス訪問ケア</vt:lpstr>
      <vt:lpstr>桑名市総合ヘルス医療センター</vt:lpstr>
      <vt:lpstr>北ウェルフェアセンター</vt:lpstr>
      <vt:lpstr>ブルーミングケア</vt:lpstr>
      <vt:lpstr>ととクリニック</vt:lpstr>
      <vt:lpstr>菰野セイント十字ケア</vt:lpstr>
      <vt:lpstr>ヴィラ四条南</vt:lpstr>
      <vt:lpstr>居宅ケア スウィート</vt:lpstr>
      <vt:lpstr>しらゆりケアリンク</vt:lpstr>
      <vt:lpstr>たけのねケアプラン</vt:lpstr>
      <vt:lpstr>ご利用者ご家族支援窓口</vt:lpstr>
      <vt:lpstr>諧朋苑ケアサポート</vt:lpstr>
      <vt:lpstr>なでしこの家ケアステーション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kmr02</dc:creator>
  <cp:lastModifiedBy>User</cp:lastModifiedBy>
  <cp:lastPrinted>2025-01-09T02:21:53Z</cp:lastPrinted>
  <dcterms:created xsi:type="dcterms:W3CDTF">2024-01-30T03:44:52Z</dcterms:created>
  <dcterms:modified xsi:type="dcterms:W3CDTF">2025-11-20T02:07:21Z</dcterms:modified>
</cp:coreProperties>
</file>