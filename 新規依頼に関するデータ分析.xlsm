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BA081A5C-0B47-459C-B0DF-E3FC6997F758}" xr6:coauthVersionLast="47" xr6:coauthVersionMax="47" xr10:uidLastSave="{00000000-0000-0000-0000-000000000000}"/>
  <bookViews>
    <workbookView xWindow="-107" yWindow="-107" windowWidth="20847" windowHeight="12401" firstSheet="1" activeTab="1" xr2:uid="{05F7F536-25D1-477E-9095-CE374426866E}"/>
  </bookViews>
  <sheets>
    <sheet name="仕様書" sheetId="123" r:id="rId1"/>
    <sheet name="ALL" sheetId="13" r:id="rId2"/>
    <sheet name="原本" sheetId="124" r:id="rId3"/>
    <sheet name="Aケアセンター" sheetId="155" r:id="rId4"/>
    <sheet name="Eケアプラン" sheetId="156" r:id="rId5"/>
    <sheet name="Fホームケア" sheetId="157" r:id="rId6"/>
    <sheet name="K地域支援センター" sheetId="158" r:id="rId7"/>
    <sheet name="L看護ケアセンター" sheetId="159" r:id="rId8"/>
    <sheet name="M総合ケアセンター" sheetId="160" r:id="rId9"/>
    <sheet name="N訪問サポート" sheetId="161" r:id="rId10"/>
    <sheet name="Q訪問ケア" sheetId="162" r:id="rId11"/>
    <sheet name="Rウェルフェアセンター" sheetId="163" r:id="rId12"/>
    <sheet name="S医療センター" sheetId="164" r:id="rId13"/>
    <sheet name="Tライフサポート" sheetId="165" r:id="rId14"/>
    <sheet name="X地域支援センター" sheetId="166" r:id="rId15"/>
    <sheet name="Yケアセンター" sheetId="167" r:id="rId16"/>
    <sheet name="Z福祉サポート" sheetId="168" r:id="rId17"/>
    <sheet name="ADケアプラン" sheetId="169" r:id="rId18"/>
    <sheet name="AEホームケア" sheetId="170" r:id="rId19"/>
    <sheet name="AFウェルフェアセンター" sheetId="171" r:id="rId20"/>
    <sheet name="AK地域支援センター" sheetId="172" r:id="rId21"/>
    <sheet name="AL医療センター" sheetId="173" r:id="rId22"/>
    <sheet name="AM福祉サポート" sheetId="174" r:id="rId23"/>
    <sheet name="AN訪問サポート" sheetId="175" r:id="rId24"/>
    <sheet name="AT総合ケアセンター" sheetId="176" r:id="rId25"/>
    <sheet name="AU在宅ケアステーション" sheetId="177" r:id="rId26"/>
    <sheet name="AV福祉サポート" sheetId="178" r:id="rId27"/>
    <sheet name="BAケアプラン" sheetId="179" r:id="rId28"/>
    <sheet name="BBケアセンター" sheetId="180" r:id="rId29"/>
    <sheet name="BD地域支援センター" sheetId="181" r:id="rId30"/>
    <sheet name="BE総合ケアセンター" sheetId="182" r:id="rId31"/>
    <sheet name="BFホームケア" sheetId="183" r:id="rId32"/>
    <sheet name="BL在宅ケアステーション" sheetId="184" r:id="rId33"/>
    <sheet name="BM訪問ケア" sheetId="185" r:id="rId34"/>
    <sheet name="BNウェルフェアセンター" sheetId="186" r:id="rId35"/>
    <sheet name="BOケアプラン" sheetId="187" r:id="rId36"/>
    <sheet name="BUライフサポート" sheetId="188" r:id="rId37"/>
    <sheet name="BV福祉サポート" sheetId="189" r:id="rId38"/>
    <sheet name="BZ在宅ケアステーション" sheetId="190" r:id="rId39"/>
    <sheet name="Pケアセンター" sheetId="191" r:id="rId4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5" i="191" l="1"/>
  <c r="K34" i="191"/>
  <c r="K33" i="191"/>
  <c r="K32" i="191"/>
  <c r="K31" i="191"/>
  <c r="L27" i="191"/>
  <c r="L26" i="191"/>
  <c r="L25" i="191"/>
  <c r="L24" i="191"/>
  <c r="L23" i="191"/>
  <c r="L19" i="191"/>
  <c r="M19" i="191" s="1"/>
  <c r="K19" i="191"/>
  <c r="L18" i="191"/>
  <c r="M18" i="191" s="1"/>
  <c r="K18" i="191"/>
  <c r="L17" i="191"/>
  <c r="K17" i="191"/>
  <c r="L16" i="191"/>
  <c r="K16" i="191"/>
  <c r="L15" i="191"/>
  <c r="M15" i="191" s="1"/>
  <c r="K15" i="191"/>
  <c r="L14" i="191"/>
  <c r="K14" i="191"/>
  <c r="L13" i="191"/>
  <c r="K13" i="191"/>
  <c r="L12" i="191"/>
  <c r="K12" i="191"/>
  <c r="L11" i="191"/>
  <c r="M11" i="191" s="1"/>
  <c r="K11" i="191"/>
  <c r="L10" i="191"/>
  <c r="M10" i="191" s="1"/>
  <c r="K10" i="191"/>
  <c r="L9" i="191"/>
  <c r="M9" i="191" s="1"/>
  <c r="K9" i="191"/>
  <c r="L8" i="191"/>
  <c r="M8" i="191" s="1"/>
  <c r="K8" i="191"/>
  <c r="K4" i="191"/>
  <c r="J4" i="191"/>
  <c r="L4" i="191" s="1"/>
  <c r="K35" i="190"/>
  <c r="K34" i="190"/>
  <c r="K33" i="190"/>
  <c r="K32" i="190"/>
  <c r="L32" i="190" s="1"/>
  <c r="K31" i="190"/>
  <c r="L27" i="190"/>
  <c r="L26" i="190"/>
  <c r="L25" i="190"/>
  <c r="L24" i="190"/>
  <c r="L23" i="190"/>
  <c r="L19" i="190"/>
  <c r="K19" i="190"/>
  <c r="L18" i="190"/>
  <c r="K18" i="190"/>
  <c r="M18" i="190" s="1"/>
  <c r="L17" i="190"/>
  <c r="M17" i="190" s="1"/>
  <c r="K17" i="190"/>
  <c r="L16" i="190"/>
  <c r="M16" i="190" s="1"/>
  <c r="K16" i="190"/>
  <c r="L15" i="190"/>
  <c r="M15" i="190" s="1"/>
  <c r="K15" i="190"/>
  <c r="L14" i="190"/>
  <c r="K14" i="190"/>
  <c r="M14" i="190" s="1"/>
  <c r="L13" i="190"/>
  <c r="K13" i="190"/>
  <c r="M13" i="190" s="1"/>
  <c r="L12" i="190"/>
  <c r="K12" i="190"/>
  <c r="L11" i="190"/>
  <c r="M11" i="190" s="1"/>
  <c r="K11" i="190"/>
  <c r="L10" i="190"/>
  <c r="K10" i="190"/>
  <c r="L9" i="190"/>
  <c r="K9" i="190"/>
  <c r="L8" i="190"/>
  <c r="M8" i="190" s="1"/>
  <c r="K8" i="190"/>
  <c r="K4" i="190"/>
  <c r="M25" i="190" s="1"/>
  <c r="J4" i="190"/>
  <c r="L4" i="190" s="1"/>
  <c r="K35" i="189"/>
  <c r="K34" i="189"/>
  <c r="K33" i="189"/>
  <c r="K32" i="189"/>
  <c r="K31" i="189"/>
  <c r="L27" i="189"/>
  <c r="L26" i="189"/>
  <c r="L25" i="189"/>
  <c r="L24" i="189"/>
  <c r="L23" i="189"/>
  <c r="L19" i="189"/>
  <c r="K19" i="189"/>
  <c r="L18" i="189"/>
  <c r="K18" i="189"/>
  <c r="L17" i="189"/>
  <c r="K17" i="189"/>
  <c r="L16" i="189"/>
  <c r="K16" i="189"/>
  <c r="L15" i="189"/>
  <c r="M15" i="189" s="1"/>
  <c r="K15" i="189"/>
  <c r="L14" i="189"/>
  <c r="K14" i="189"/>
  <c r="L13" i="189"/>
  <c r="K13" i="189"/>
  <c r="L12" i="189"/>
  <c r="M12" i="189" s="1"/>
  <c r="K12" i="189"/>
  <c r="L11" i="189"/>
  <c r="M11" i="189" s="1"/>
  <c r="K11" i="189"/>
  <c r="L10" i="189"/>
  <c r="K10" i="189"/>
  <c r="L9" i="189"/>
  <c r="K9" i="189"/>
  <c r="L8" i="189"/>
  <c r="M8" i="189" s="1"/>
  <c r="K8" i="189"/>
  <c r="K4" i="189"/>
  <c r="M25" i="189" s="1"/>
  <c r="J4" i="189"/>
  <c r="K35" i="188"/>
  <c r="K34" i="188"/>
  <c r="K33" i="188"/>
  <c r="K32" i="188"/>
  <c r="L32" i="188" s="1"/>
  <c r="K31" i="188"/>
  <c r="L27" i="188"/>
  <c r="L26" i="188"/>
  <c r="L25" i="188"/>
  <c r="L24" i="188"/>
  <c r="L23" i="188"/>
  <c r="L19" i="188"/>
  <c r="K19" i="188"/>
  <c r="L18" i="188"/>
  <c r="K18" i="188"/>
  <c r="L17" i="188"/>
  <c r="K17" i="188"/>
  <c r="L16" i="188"/>
  <c r="K16" i="188"/>
  <c r="L15" i="188"/>
  <c r="M15" i="188" s="1"/>
  <c r="K15" i="188"/>
  <c r="L14" i="188"/>
  <c r="K14" i="188"/>
  <c r="M14" i="188" s="1"/>
  <c r="L13" i="188"/>
  <c r="M13" i="188" s="1"/>
  <c r="K13" i="188"/>
  <c r="L12" i="188"/>
  <c r="K12" i="188"/>
  <c r="L11" i="188"/>
  <c r="M11" i="188" s="1"/>
  <c r="K11" i="188"/>
  <c r="L10" i="188"/>
  <c r="K10" i="188"/>
  <c r="L9" i="188"/>
  <c r="K9" i="188"/>
  <c r="L8" i="188"/>
  <c r="M8" i="188" s="1"/>
  <c r="K8" i="188"/>
  <c r="K4" i="188"/>
  <c r="M25" i="188" s="1"/>
  <c r="J4" i="188"/>
  <c r="L4" i="188" s="1"/>
  <c r="K35" i="187"/>
  <c r="K34" i="187"/>
  <c r="K33" i="187"/>
  <c r="K32" i="187"/>
  <c r="K31" i="187"/>
  <c r="L27" i="187"/>
  <c r="L26" i="187"/>
  <c r="L25" i="187"/>
  <c r="L24" i="187"/>
  <c r="L23" i="187"/>
  <c r="L19" i="187"/>
  <c r="K19" i="187"/>
  <c r="L18" i="187"/>
  <c r="K18" i="187"/>
  <c r="L17" i="187"/>
  <c r="K17" i="187"/>
  <c r="L16" i="187"/>
  <c r="K16" i="187"/>
  <c r="L15" i="187"/>
  <c r="K15" i="187"/>
  <c r="L14" i="187"/>
  <c r="K14" i="187"/>
  <c r="L13" i="187"/>
  <c r="K13" i="187"/>
  <c r="L12" i="187"/>
  <c r="K12" i="187"/>
  <c r="L11" i="187"/>
  <c r="M11" i="187" s="1"/>
  <c r="K11" i="187"/>
  <c r="L10" i="187"/>
  <c r="K10" i="187"/>
  <c r="L9" i="187"/>
  <c r="K9" i="187"/>
  <c r="L8" i="187"/>
  <c r="M8" i="187" s="1"/>
  <c r="K8" i="187"/>
  <c r="K4" i="187"/>
  <c r="J4" i="187"/>
  <c r="K35" i="186"/>
  <c r="K34" i="186"/>
  <c r="K33" i="186"/>
  <c r="K32" i="186"/>
  <c r="L32" i="186" s="1"/>
  <c r="K31" i="186"/>
  <c r="L27" i="186"/>
  <c r="L26" i="186"/>
  <c r="L25" i="186"/>
  <c r="L24" i="186"/>
  <c r="L23" i="186"/>
  <c r="L19" i="186"/>
  <c r="K19" i="186"/>
  <c r="L18" i="186"/>
  <c r="K18" i="186"/>
  <c r="L17" i="186"/>
  <c r="K17" i="186"/>
  <c r="L16" i="186"/>
  <c r="M16" i="186" s="1"/>
  <c r="K16" i="186"/>
  <c r="L15" i="186"/>
  <c r="K15" i="186"/>
  <c r="L14" i="186"/>
  <c r="K14" i="186"/>
  <c r="L13" i="186"/>
  <c r="M13" i="186" s="1"/>
  <c r="K13" i="186"/>
  <c r="L12" i="186"/>
  <c r="M12" i="186" s="1"/>
  <c r="K12" i="186"/>
  <c r="L11" i="186"/>
  <c r="M11" i="186" s="1"/>
  <c r="K11" i="186"/>
  <c r="L10" i="186"/>
  <c r="K10" i="186"/>
  <c r="M10" i="186" s="1"/>
  <c r="L9" i="186"/>
  <c r="M9" i="186" s="1"/>
  <c r="K9" i="186"/>
  <c r="L8" i="186"/>
  <c r="K8" i="186"/>
  <c r="L4" i="186"/>
  <c r="K4" i="186"/>
  <c r="M25" i="186" s="1"/>
  <c r="J4" i="186"/>
  <c r="K35" i="185"/>
  <c r="K34" i="185"/>
  <c r="K33" i="185"/>
  <c r="K32" i="185"/>
  <c r="L32" i="185" s="1"/>
  <c r="K31" i="185"/>
  <c r="L27" i="185"/>
  <c r="L26" i="185"/>
  <c r="L25" i="185"/>
  <c r="M25" i="185" s="1"/>
  <c r="L24" i="185"/>
  <c r="L23" i="185"/>
  <c r="L19" i="185"/>
  <c r="M19" i="185" s="1"/>
  <c r="K19" i="185"/>
  <c r="L18" i="185"/>
  <c r="K18" i="185"/>
  <c r="L17" i="185"/>
  <c r="K17" i="185"/>
  <c r="L16" i="185"/>
  <c r="M16" i="185" s="1"/>
  <c r="K16" i="185"/>
  <c r="L15" i="185"/>
  <c r="M15" i="185" s="1"/>
  <c r="K15" i="185"/>
  <c r="L14" i="185"/>
  <c r="K14" i="185"/>
  <c r="L13" i="185"/>
  <c r="M13" i="185" s="1"/>
  <c r="K13" i="185"/>
  <c r="L12" i="185"/>
  <c r="K12" i="185"/>
  <c r="M12" i="185" s="1"/>
  <c r="L11" i="185"/>
  <c r="K11" i="185"/>
  <c r="L10" i="185"/>
  <c r="K10" i="185"/>
  <c r="M10" i="185" s="1"/>
  <c r="L9" i="185"/>
  <c r="M9" i="185" s="1"/>
  <c r="K9" i="185"/>
  <c r="L8" i="185"/>
  <c r="K8" i="185"/>
  <c r="K4" i="185"/>
  <c r="L4" i="185" s="1"/>
  <c r="J4" i="185"/>
  <c r="K35" i="184"/>
  <c r="K34" i="184"/>
  <c r="K33" i="184"/>
  <c r="K32" i="184"/>
  <c r="L32" i="184" s="1"/>
  <c r="K31" i="184"/>
  <c r="L27" i="184"/>
  <c r="L26" i="184"/>
  <c r="L25" i="184"/>
  <c r="L24" i="184"/>
  <c r="L23" i="184"/>
  <c r="L19" i="184"/>
  <c r="K19" i="184"/>
  <c r="L18" i="184"/>
  <c r="K18" i="184"/>
  <c r="L17" i="184"/>
  <c r="K17" i="184"/>
  <c r="L16" i="184"/>
  <c r="M16" i="184" s="1"/>
  <c r="K16" i="184"/>
  <c r="L15" i="184"/>
  <c r="K15" i="184"/>
  <c r="L14" i="184"/>
  <c r="M14" i="184" s="1"/>
  <c r="K14" i="184"/>
  <c r="L13" i="184"/>
  <c r="M13" i="184" s="1"/>
  <c r="K13" i="184"/>
  <c r="L12" i="184"/>
  <c r="K12" i="184"/>
  <c r="M12" i="184" s="1"/>
  <c r="L11" i="184"/>
  <c r="K11" i="184"/>
  <c r="L10" i="184"/>
  <c r="K10" i="184"/>
  <c r="M10" i="184" s="1"/>
  <c r="L9" i="184"/>
  <c r="M9" i="184" s="1"/>
  <c r="K9" i="184"/>
  <c r="L8" i="184"/>
  <c r="K8" i="184"/>
  <c r="K4" i="184"/>
  <c r="M25" i="184" s="1"/>
  <c r="J4" i="184"/>
  <c r="K35" i="183"/>
  <c r="K34" i="183"/>
  <c r="K33" i="183"/>
  <c r="K32" i="183"/>
  <c r="K31" i="183"/>
  <c r="L27" i="183"/>
  <c r="L26" i="183"/>
  <c r="L25" i="183"/>
  <c r="L24" i="183"/>
  <c r="L23" i="183"/>
  <c r="L19" i="183"/>
  <c r="K19" i="183"/>
  <c r="L18" i="183"/>
  <c r="K18" i="183"/>
  <c r="L17" i="183"/>
  <c r="K17" i="183"/>
  <c r="L16" i="183"/>
  <c r="M16" i="183" s="1"/>
  <c r="K16" i="183"/>
  <c r="L15" i="183"/>
  <c r="K15" i="183"/>
  <c r="L14" i="183"/>
  <c r="K14" i="183"/>
  <c r="L13" i="183"/>
  <c r="M13" i="183" s="1"/>
  <c r="K13" i="183"/>
  <c r="L12" i="183"/>
  <c r="K12" i="183"/>
  <c r="L11" i="183"/>
  <c r="K11" i="183"/>
  <c r="L10" i="183"/>
  <c r="K10" i="183"/>
  <c r="L9" i="183"/>
  <c r="M9" i="183" s="1"/>
  <c r="K9" i="183"/>
  <c r="L8" i="183"/>
  <c r="K8" i="183"/>
  <c r="K4" i="183"/>
  <c r="L4" i="183" s="1"/>
  <c r="J4" i="183"/>
  <c r="K35" i="182"/>
  <c r="K34" i="182"/>
  <c r="K33" i="182"/>
  <c r="K32" i="182"/>
  <c r="L32" i="182" s="1"/>
  <c r="K31" i="182"/>
  <c r="L27" i="182"/>
  <c r="L26" i="182"/>
  <c r="L25" i="182"/>
  <c r="L24" i="182"/>
  <c r="L23" i="182"/>
  <c r="L19" i="182"/>
  <c r="K19" i="182"/>
  <c r="L18" i="182"/>
  <c r="K18" i="182"/>
  <c r="L17" i="182"/>
  <c r="K17" i="182"/>
  <c r="L16" i="182"/>
  <c r="M16" i="182" s="1"/>
  <c r="K16" i="182"/>
  <c r="L15" i="182"/>
  <c r="K15" i="182"/>
  <c r="L14" i="182"/>
  <c r="M14" i="182" s="1"/>
  <c r="K14" i="182"/>
  <c r="L13" i="182"/>
  <c r="M13" i="182" s="1"/>
  <c r="K13" i="182"/>
  <c r="L12" i="182"/>
  <c r="K12" i="182"/>
  <c r="M12" i="182" s="1"/>
  <c r="L11" i="182"/>
  <c r="K11" i="182"/>
  <c r="L10" i="182"/>
  <c r="K10" i="182"/>
  <c r="L9" i="182"/>
  <c r="M9" i="182" s="1"/>
  <c r="K9" i="182"/>
  <c r="L8" i="182"/>
  <c r="K8" i="182"/>
  <c r="K4" i="182"/>
  <c r="M25" i="182" s="1"/>
  <c r="J4" i="182"/>
  <c r="K35" i="181"/>
  <c r="K34" i="181"/>
  <c r="K33" i="181"/>
  <c r="K32" i="181"/>
  <c r="L32" i="181" s="1"/>
  <c r="K31" i="181"/>
  <c r="L27" i="181"/>
  <c r="L26" i="181"/>
  <c r="L25" i="181"/>
  <c r="M25" i="181" s="1"/>
  <c r="L24" i="181"/>
  <c r="L23" i="181"/>
  <c r="L19" i="181"/>
  <c r="M19" i="181" s="1"/>
  <c r="K19" i="181"/>
  <c r="L18" i="181"/>
  <c r="K18" i="181"/>
  <c r="L17" i="181"/>
  <c r="K17" i="181"/>
  <c r="L16" i="181"/>
  <c r="M16" i="181" s="1"/>
  <c r="K16" i="181"/>
  <c r="L15" i="181"/>
  <c r="M15" i="181" s="1"/>
  <c r="K15" i="181"/>
  <c r="L14" i="181"/>
  <c r="K14" i="181"/>
  <c r="L13" i="181"/>
  <c r="M13" i="181" s="1"/>
  <c r="K13" i="181"/>
  <c r="L12" i="181"/>
  <c r="K12" i="181"/>
  <c r="M12" i="181" s="1"/>
  <c r="L11" i="181"/>
  <c r="K11" i="181"/>
  <c r="L10" i="181"/>
  <c r="K10" i="181"/>
  <c r="M10" i="181" s="1"/>
  <c r="L9" i="181"/>
  <c r="M9" i="181" s="1"/>
  <c r="K9" i="181"/>
  <c r="L8" i="181"/>
  <c r="K8" i="181"/>
  <c r="K4" i="181"/>
  <c r="L4" i="181" s="1"/>
  <c r="J4" i="181"/>
  <c r="K35" i="180"/>
  <c r="K34" i="180"/>
  <c r="K33" i="180"/>
  <c r="K32" i="180"/>
  <c r="K31" i="180"/>
  <c r="L27" i="180"/>
  <c r="L26" i="180"/>
  <c r="L25" i="180"/>
  <c r="L24" i="180"/>
  <c r="L23" i="180"/>
  <c r="L19" i="180"/>
  <c r="K19" i="180"/>
  <c r="L18" i="180"/>
  <c r="K18" i="180"/>
  <c r="L17" i="180"/>
  <c r="K17" i="180"/>
  <c r="L16" i="180"/>
  <c r="K16" i="180"/>
  <c r="L15" i="180"/>
  <c r="K15" i="180"/>
  <c r="L14" i="180"/>
  <c r="K14" i="180"/>
  <c r="L13" i="180"/>
  <c r="M13" i="180" s="1"/>
  <c r="K13" i="180"/>
  <c r="L12" i="180"/>
  <c r="K12" i="180"/>
  <c r="L11" i="180"/>
  <c r="K11" i="180"/>
  <c r="L10" i="180"/>
  <c r="K10" i="180"/>
  <c r="L9" i="180"/>
  <c r="M9" i="180" s="1"/>
  <c r="K9" i="180"/>
  <c r="L8" i="180"/>
  <c r="K8" i="180"/>
  <c r="K4" i="180"/>
  <c r="L4" i="180" s="1"/>
  <c r="J4" i="180"/>
  <c r="K35" i="179"/>
  <c r="K34" i="179"/>
  <c r="K33" i="179"/>
  <c r="K32" i="179"/>
  <c r="K31" i="179"/>
  <c r="L27" i="179"/>
  <c r="L26" i="179"/>
  <c r="L25" i="179"/>
  <c r="L24" i="179"/>
  <c r="L23" i="179"/>
  <c r="L19" i="179"/>
  <c r="K19" i="179"/>
  <c r="L18" i="179"/>
  <c r="M18" i="179" s="1"/>
  <c r="K18" i="179"/>
  <c r="L17" i="179"/>
  <c r="K17" i="179"/>
  <c r="L16" i="179"/>
  <c r="M16" i="179" s="1"/>
  <c r="K16" i="179"/>
  <c r="L15" i="179"/>
  <c r="M15" i="179" s="1"/>
  <c r="K15" i="179"/>
  <c r="L14" i="179"/>
  <c r="M14" i="179" s="1"/>
  <c r="K14" i="179"/>
  <c r="L13" i="179"/>
  <c r="K13" i="179"/>
  <c r="L12" i="179"/>
  <c r="K12" i="179"/>
  <c r="M12" i="179" s="1"/>
  <c r="L11" i="179"/>
  <c r="M11" i="179" s="1"/>
  <c r="K11" i="179"/>
  <c r="L10" i="179"/>
  <c r="M10" i="179" s="1"/>
  <c r="K10" i="179"/>
  <c r="L9" i="179"/>
  <c r="M9" i="179" s="1"/>
  <c r="K9" i="179"/>
  <c r="L8" i="179"/>
  <c r="M8" i="179" s="1"/>
  <c r="K8" i="179"/>
  <c r="K4" i="179"/>
  <c r="J4" i="179"/>
  <c r="L4" i="179" s="1"/>
  <c r="K35" i="178"/>
  <c r="K34" i="178"/>
  <c r="K33" i="178"/>
  <c r="K32" i="178"/>
  <c r="K31" i="178"/>
  <c r="L27" i="178"/>
  <c r="L26" i="178"/>
  <c r="L25" i="178"/>
  <c r="L24" i="178"/>
  <c r="L23" i="178"/>
  <c r="L19" i="178"/>
  <c r="K19" i="178"/>
  <c r="L18" i="178"/>
  <c r="K18" i="178"/>
  <c r="L17" i="178"/>
  <c r="K17" i="178"/>
  <c r="L16" i="178"/>
  <c r="K16" i="178"/>
  <c r="L15" i="178"/>
  <c r="K15" i="178"/>
  <c r="L14" i="178"/>
  <c r="K14" i="178"/>
  <c r="L13" i="178"/>
  <c r="M13" i="178" s="1"/>
  <c r="K13" i="178"/>
  <c r="L12" i="178"/>
  <c r="K12" i="178"/>
  <c r="L11" i="178"/>
  <c r="K11" i="178"/>
  <c r="L10" i="178"/>
  <c r="K10" i="178"/>
  <c r="L9" i="178"/>
  <c r="M9" i="178" s="1"/>
  <c r="K9" i="178"/>
  <c r="L8" i="178"/>
  <c r="K8" i="178"/>
  <c r="K4" i="178"/>
  <c r="L4" i="178" s="1"/>
  <c r="J4" i="178"/>
  <c r="K35" i="177"/>
  <c r="K34" i="177"/>
  <c r="K33" i="177"/>
  <c r="K32" i="177"/>
  <c r="L32" i="177" s="1"/>
  <c r="K31" i="177"/>
  <c r="L27" i="177"/>
  <c r="L26" i="177"/>
  <c r="L25" i="177"/>
  <c r="M25" i="177" s="1"/>
  <c r="L24" i="177"/>
  <c r="L23" i="177"/>
  <c r="L19" i="177"/>
  <c r="M19" i="177" s="1"/>
  <c r="K19" i="177"/>
  <c r="L18" i="177"/>
  <c r="K18" i="177"/>
  <c r="L17" i="177"/>
  <c r="K17" i="177"/>
  <c r="L16" i="177"/>
  <c r="M16" i="177" s="1"/>
  <c r="K16" i="177"/>
  <c r="L15" i="177"/>
  <c r="M15" i="177" s="1"/>
  <c r="K15" i="177"/>
  <c r="L14" i="177"/>
  <c r="K14" i="177"/>
  <c r="L13" i="177"/>
  <c r="M13" i="177" s="1"/>
  <c r="K13" i="177"/>
  <c r="L12" i="177"/>
  <c r="K12" i="177"/>
  <c r="M12" i="177" s="1"/>
  <c r="L11" i="177"/>
  <c r="K11" i="177"/>
  <c r="L10" i="177"/>
  <c r="K10" i="177"/>
  <c r="M10" i="177" s="1"/>
  <c r="L9" i="177"/>
  <c r="M9" i="177" s="1"/>
  <c r="K9" i="177"/>
  <c r="L8" i="177"/>
  <c r="K8" i="177"/>
  <c r="K4" i="177"/>
  <c r="L4" i="177" s="1"/>
  <c r="J4" i="177"/>
  <c r="K35" i="176"/>
  <c r="K34" i="176"/>
  <c r="K33" i="176"/>
  <c r="K32" i="176"/>
  <c r="L32" i="176" s="1"/>
  <c r="K31" i="176"/>
  <c r="L27" i="176"/>
  <c r="L26" i="176"/>
  <c r="L25" i="176"/>
  <c r="M25" i="176" s="1"/>
  <c r="L24" i="176"/>
  <c r="L23" i="176"/>
  <c r="L19" i="176"/>
  <c r="M19" i="176" s="1"/>
  <c r="K19" i="176"/>
  <c r="L18" i="176"/>
  <c r="K18" i="176"/>
  <c r="L17" i="176"/>
  <c r="K17" i="176"/>
  <c r="L16" i="176"/>
  <c r="M16" i="176" s="1"/>
  <c r="K16" i="176"/>
  <c r="L15" i="176"/>
  <c r="M15" i="176" s="1"/>
  <c r="K15" i="176"/>
  <c r="L14" i="176"/>
  <c r="K14" i="176"/>
  <c r="L13" i="176"/>
  <c r="M13" i="176" s="1"/>
  <c r="K13" i="176"/>
  <c r="L12" i="176"/>
  <c r="K12" i="176"/>
  <c r="M12" i="176" s="1"/>
  <c r="L11" i="176"/>
  <c r="K11" i="176"/>
  <c r="L10" i="176"/>
  <c r="K10" i="176"/>
  <c r="M10" i="176" s="1"/>
  <c r="L9" i="176"/>
  <c r="M9" i="176" s="1"/>
  <c r="K9" i="176"/>
  <c r="L8" i="176"/>
  <c r="K8" i="176"/>
  <c r="K4" i="176"/>
  <c r="L4" i="176" s="1"/>
  <c r="J4" i="176"/>
  <c r="K35" i="175"/>
  <c r="K34" i="175"/>
  <c r="K33" i="175"/>
  <c r="K32" i="175"/>
  <c r="K31" i="175"/>
  <c r="L27" i="175"/>
  <c r="L26" i="175"/>
  <c r="L25" i="175"/>
  <c r="L24" i="175"/>
  <c r="L23" i="175"/>
  <c r="L19" i="175"/>
  <c r="K19" i="175"/>
  <c r="L18" i="175"/>
  <c r="K18" i="175"/>
  <c r="L17" i="175"/>
  <c r="K17" i="175"/>
  <c r="L16" i="175"/>
  <c r="K16" i="175"/>
  <c r="L15" i="175"/>
  <c r="K15" i="175"/>
  <c r="L14" i="175"/>
  <c r="K14" i="175"/>
  <c r="L13" i="175"/>
  <c r="K13" i="175"/>
  <c r="L12" i="175"/>
  <c r="K12" i="175"/>
  <c r="L11" i="175"/>
  <c r="K11" i="175"/>
  <c r="L10" i="175"/>
  <c r="K10" i="175"/>
  <c r="L9" i="175"/>
  <c r="K9" i="175"/>
  <c r="L8" i="175"/>
  <c r="K8" i="175"/>
  <c r="K4" i="175"/>
  <c r="J4" i="175"/>
  <c r="K35" i="174"/>
  <c r="K34" i="174"/>
  <c r="K33" i="174"/>
  <c r="K32" i="174"/>
  <c r="K31" i="174"/>
  <c r="L27" i="174"/>
  <c r="L26" i="174"/>
  <c r="L25" i="174"/>
  <c r="L24" i="174"/>
  <c r="L23" i="174"/>
  <c r="L19" i="174"/>
  <c r="K19" i="174"/>
  <c r="L18" i="174"/>
  <c r="M18" i="174" s="1"/>
  <c r="K18" i="174"/>
  <c r="L17" i="174"/>
  <c r="K17" i="174"/>
  <c r="L16" i="174"/>
  <c r="M16" i="174" s="1"/>
  <c r="K16" i="174"/>
  <c r="L15" i="174"/>
  <c r="M15" i="174" s="1"/>
  <c r="K15" i="174"/>
  <c r="L14" i="174"/>
  <c r="M14" i="174" s="1"/>
  <c r="K14" i="174"/>
  <c r="L13" i="174"/>
  <c r="M13" i="174" s="1"/>
  <c r="K13" i="174"/>
  <c r="L12" i="174"/>
  <c r="K12" i="174"/>
  <c r="M12" i="174" s="1"/>
  <c r="L11" i="174"/>
  <c r="K11" i="174"/>
  <c r="L10" i="174"/>
  <c r="K10" i="174"/>
  <c r="M10" i="174" s="1"/>
  <c r="L9" i="174"/>
  <c r="M9" i="174" s="1"/>
  <c r="K9" i="174"/>
  <c r="L8" i="174"/>
  <c r="M8" i="174" s="1"/>
  <c r="K8" i="174"/>
  <c r="K4" i="174"/>
  <c r="J4" i="174"/>
  <c r="L4" i="174" s="1"/>
  <c r="K35" i="173"/>
  <c r="K34" i="173"/>
  <c r="K33" i="173"/>
  <c r="L33" i="173" s="1"/>
  <c r="K32" i="173"/>
  <c r="K31" i="173"/>
  <c r="L27" i="173"/>
  <c r="L26" i="173"/>
  <c r="L25" i="173"/>
  <c r="L24" i="173"/>
  <c r="L23" i="173"/>
  <c r="L19" i="173"/>
  <c r="M19" i="173" s="1"/>
  <c r="K19" i="173"/>
  <c r="L18" i="173"/>
  <c r="K18" i="173"/>
  <c r="M18" i="173" s="1"/>
  <c r="L17" i="173"/>
  <c r="M17" i="173" s="1"/>
  <c r="K17" i="173"/>
  <c r="L16" i="173"/>
  <c r="M16" i="173" s="1"/>
  <c r="K16" i="173"/>
  <c r="L15" i="173"/>
  <c r="M15" i="173" s="1"/>
  <c r="K15" i="173"/>
  <c r="L14" i="173"/>
  <c r="K14" i="173"/>
  <c r="L13" i="173"/>
  <c r="M13" i="173" s="1"/>
  <c r="K13" i="173"/>
  <c r="L12" i="173"/>
  <c r="M12" i="173" s="1"/>
  <c r="K12" i="173"/>
  <c r="L11" i="173"/>
  <c r="M11" i="173" s="1"/>
  <c r="K11" i="173"/>
  <c r="M10" i="173"/>
  <c r="L10" i="173"/>
  <c r="K10" i="173"/>
  <c r="L9" i="173"/>
  <c r="M9" i="173" s="1"/>
  <c r="K9" i="173"/>
  <c r="L8" i="173"/>
  <c r="K8" i="173"/>
  <c r="K4" i="173"/>
  <c r="M26" i="173" s="1"/>
  <c r="J4" i="173"/>
  <c r="L4" i="173" s="1"/>
  <c r="K35" i="172"/>
  <c r="K34" i="172"/>
  <c r="K33" i="172"/>
  <c r="K32" i="172"/>
  <c r="K31" i="172"/>
  <c r="L27" i="172"/>
  <c r="L26" i="172"/>
  <c r="L25" i="172"/>
  <c r="L24" i="172"/>
  <c r="L23" i="172"/>
  <c r="L19" i="172"/>
  <c r="M19" i="172" s="1"/>
  <c r="K19" i="172"/>
  <c r="L18" i="172"/>
  <c r="K18" i="172"/>
  <c r="M18" i="172" s="1"/>
  <c r="L17" i="172"/>
  <c r="M17" i="172" s="1"/>
  <c r="K17" i="172"/>
  <c r="L16" i="172"/>
  <c r="K16" i="172"/>
  <c r="L15" i="172"/>
  <c r="M15" i="172" s="1"/>
  <c r="K15" i="172"/>
  <c r="L14" i="172"/>
  <c r="K14" i="172"/>
  <c r="M14" i="172" s="1"/>
  <c r="L13" i="172"/>
  <c r="M13" i="172" s="1"/>
  <c r="K13" i="172"/>
  <c r="L12" i="172"/>
  <c r="K12" i="172"/>
  <c r="L11" i="172"/>
  <c r="M11" i="172" s="1"/>
  <c r="K11" i="172"/>
  <c r="L10" i="172"/>
  <c r="M10" i="172" s="1"/>
  <c r="K10" i="172"/>
  <c r="L9" i="172"/>
  <c r="K9" i="172"/>
  <c r="L8" i="172"/>
  <c r="M8" i="172" s="1"/>
  <c r="K8" i="172"/>
  <c r="K4" i="172"/>
  <c r="J4" i="172"/>
  <c r="K35" i="171"/>
  <c r="K34" i="171"/>
  <c r="K33" i="171"/>
  <c r="K32" i="171"/>
  <c r="K31" i="171"/>
  <c r="L27" i="171"/>
  <c r="L26" i="171"/>
  <c r="L25" i="171"/>
  <c r="L24" i="171"/>
  <c r="L23" i="171"/>
  <c r="L19" i="171"/>
  <c r="K19" i="171"/>
  <c r="L18" i="171"/>
  <c r="K18" i="171"/>
  <c r="L17" i="171"/>
  <c r="M17" i="171" s="1"/>
  <c r="K17" i="171"/>
  <c r="L16" i="171"/>
  <c r="M16" i="171" s="1"/>
  <c r="K16" i="171"/>
  <c r="L15" i="171"/>
  <c r="K15" i="171"/>
  <c r="L14" i="171"/>
  <c r="K14" i="171"/>
  <c r="L13" i="171"/>
  <c r="K13" i="171"/>
  <c r="L12" i="171"/>
  <c r="K12" i="171"/>
  <c r="L11" i="171"/>
  <c r="K11" i="171"/>
  <c r="L10" i="171"/>
  <c r="K10" i="171"/>
  <c r="L9" i="171"/>
  <c r="K9" i="171"/>
  <c r="L8" i="171"/>
  <c r="M8" i="171" s="1"/>
  <c r="K8" i="171"/>
  <c r="K4" i="171"/>
  <c r="M25" i="171" s="1"/>
  <c r="J4" i="171"/>
  <c r="L32" i="171" s="1"/>
  <c r="K35" i="170"/>
  <c r="K34" i="170"/>
  <c r="K33" i="170"/>
  <c r="L33" i="170" s="1"/>
  <c r="K32" i="170"/>
  <c r="K31" i="170"/>
  <c r="L27" i="170"/>
  <c r="L26" i="170"/>
  <c r="M26" i="170" s="1"/>
  <c r="L25" i="170"/>
  <c r="L24" i="170"/>
  <c r="L23" i="170"/>
  <c r="M23" i="170" s="1"/>
  <c r="L19" i="170"/>
  <c r="M19" i="170" s="1"/>
  <c r="K19" i="170"/>
  <c r="L18" i="170"/>
  <c r="M18" i="170" s="1"/>
  <c r="K18" i="170"/>
  <c r="L17" i="170"/>
  <c r="K17" i="170"/>
  <c r="L16" i="170"/>
  <c r="M16" i="170" s="1"/>
  <c r="K16" i="170"/>
  <c r="L15" i="170"/>
  <c r="M15" i="170" s="1"/>
  <c r="K15" i="170"/>
  <c r="L14" i="170"/>
  <c r="M14" i="170" s="1"/>
  <c r="K14" i="170"/>
  <c r="L13" i="170"/>
  <c r="K13" i="170"/>
  <c r="L12" i="170"/>
  <c r="K12" i="170"/>
  <c r="L11" i="170"/>
  <c r="K11" i="170"/>
  <c r="M11" i="170" s="1"/>
  <c r="L10" i="170"/>
  <c r="M10" i="170" s="1"/>
  <c r="K10" i="170"/>
  <c r="L9" i="170"/>
  <c r="M9" i="170" s="1"/>
  <c r="K9" i="170"/>
  <c r="L8" i="170"/>
  <c r="M8" i="170" s="1"/>
  <c r="K8" i="170"/>
  <c r="K4" i="170"/>
  <c r="J4" i="170"/>
  <c r="L4" i="170" s="1"/>
  <c r="K35" i="169"/>
  <c r="K34" i="169"/>
  <c r="K33" i="169"/>
  <c r="K32" i="169"/>
  <c r="L32" i="169" s="1"/>
  <c r="K31" i="169"/>
  <c r="L27" i="169"/>
  <c r="L26" i="169"/>
  <c r="L25" i="169"/>
  <c r="L24" i="169"/>
  <c r="L23" i="169"/>
  <c r="L19" i="169"/>
  <c r="M19" i="169" s="1"/>
  <c r="K19" i="169"/>
  <c r="L18" i="169"/>
  <c r="K18" i="169"/>
  <c r="M18" i="169" s="1"/>
  <c r="L17" i="169"/>
  <c r="M17" i="169" s="1"/>
  <c r="K17" i="169"/>
  <c r="L16" i="169"/>
  <c r="M16" i="169" s="1"/>
  <c r="K16" i="169"/>
  <c r="L15" i="169"/>
  <c r="M15" i="169" s="1"/>
  <c r="K15" i="169"/>
  <c r="L14" i="169"/>
  <c r="K14" i="169"/>
  <c r="M14" i="169" s="1"/>
  <c r="L13" i="169"/>
  <c r="M13" i="169" s="1"/>
  <c r="K13" i="169"/>
  <c r="L12" i="169"/>
  <c r="K12" i="169"/>
  <c r="M12" i="169" s="1"/>
  <c r="L11" i="169"/>
  <c r="M11" i="169" s="1"/>
  <c r="K11" i="169"/>
  <c r="L10" i="169"/>
  <c r="K10" i="169"/>
  <c r="L9" i="169"/>
  <c r="K9" i="169"/>
  <c r="L8" i="169"/>
  <c r="K8" i="169"/>
  <c r="K4" i="169"/>
  <c r="M25" i="169" s="1"/>
  <c r="J4" i="169"/>
  <c r="L4" i="169" s="1"/>
  <c r="K35" i="168"/>
  <c r="K34" i="168"/>
  <c r="K33" i="168"/>
  <c r="K32" i="168"/>
  <c r="K31" i="168"/>
  <c r="L27" i="168"/>
  <c r="L26" i="168"/>
  <c r="L25" i="168"/>
  <c r="L24" i="168"/>
  <c r="L23" i="168"/>
  <c r="L19" i="168"/>
  <c r="M19" i="168" s="1"/>
  <c r="K19" i="168"/>
  <c r="L18" i="168"/>
  <c r="K18" i="168"/>
  <c r="L17" i="168"/>
  <c r="K17" i="168"/>
  <c r="L16" i="168"/>
  <c r="M16" i="168" s="1"/>
  <c r="K16" i="168"/>
  <c r="L15" i="168"/>
  <c r="M15" i="168" s="1"/>
  <c r="K15" i="168"/>
  <c r="L14" i="168"/>
  <c r="K14" i="168"/>
  <c r="L13" i="168"/>
  <c r="K13" i="168"/>
  <c r="L12" i="168"/>
  <c r="K12" i="168"/>
  <c r="L11" i="168"/>
  <c r="M11" i="168" s="1"/>
  <c r="K11" i="168"/>
  <c r="L10" i="168"/>
  <c r="K10" i="168"/>
  <c r="L9" i="168"/>
  <c r="K9" i="168"/>
  <c r="L8" i="168"/>
  <c r="K8" i="168"/>
  <c r="K4" i="168"/>
  <c r="M25" i="168" s="1"/>
  <c r="J4" i="168"/>
  <c r="K35" i="167"/>
  <c r="K34" i="167"/>
  <c r="K33" i="167"/>
  <c r="L33" i="167" s="1"/>
  <c r="K32" i="167"/>
  <c r="K31" i="167"/>
  <c r="L27" i="167"/>
  <c r="L26" i="167"/>
  <c r="M26" i="167" s="1"/>
  <c r="L25" i="167"/>
  <c r="L24" i="167"/>
  <c r="L23" i="167"/>
  <c r="L19" i="167"/>
  <c r="M19" i="167" s="1"/>
  <c r="K19" i="167"/>
  <c r="L18" i="167"/>
  <c r="M18" i="167" s="1"/>
  <c r="K18" i="167"/>
  <c r="L17" i="167"/>
  <c r="K17" i="167"/>
  <c r="L16" i="167"/>
  <c r="K16" i="167"/>
  <c r="M16" i="167" s="1"/>
  <c r="L15" i="167"/>
  <c r="M15" i="167" s="1"/>
  <c r="K15" i="167"/>
  <c r="L14" i="167"/>
  <c r="M14" i="167" s="1"/>
  <c r="K14" i="167"/>
  <c r="L13" i="167"/>
  <c r="K13" i="167"/>
  <c r="L12" i="167"/>
  <c r="K12" i="167"/>
  <c r="M12" i="167" s="1"/>
  <c r="L11" i="167"/>
  <c r="M11" i="167" s="1"/>
  <c r="K11" i="167"/>
  <c r="L10" i="167"/>
  <c r="K10" i="167"/>
  <c r="M10" i="167" s="1"/>
  <c r="L9" i="167"/>
  <c r="M9" i="167" s="1"/>
  <c r="K9" i="167"/>
  <c r="L8" i="167"/>
  <c r="K8" i="167"/>
  <c r="K4" i="167"/>
  <c r="J4" i="167"/>
  <c r="L4" i="167" s="1"/>
  <c r="K35" i="166"/>
  <c r="K34" i="166"/>
  <c r="K33" i="166"/>
  <c r="K32" i="166"/>
  <c r="K31" i="166"/>
  <c r="L27" i="166"/>
  <c r="L26" i="166"/>
  <c r="L25" i="166"/>
  <c r="L24" i="166"/>
  <c r="L23" i="166"/>
  <c r="L19" i="166"/>
  <c r="M19" i="166" s="1"/>
  <c r="K19" i="166"/>
  <c r="L18" i="166"/>
  <c r="K18" i="166"/>
  <c r="L17" i="166"/>
  <c r="K17" i="166"/>
  <c r="L16" i="166"/>
  <c r="M16" i="166" s="1"/>
  <c r="K16" i="166"/>
  <c r="L15" i="166"/>
  <c r="M15" i="166" s="1"/>
  <c r="K15" i="166"/>
  <c r="L14" i="166"/>
  <c r="K14" i="166"/>
  <c r="L13" i="166"/>
  <c r="M13" i="166" s="1"/>
  <c r="K13" i="166"/>
  <c r="L12" i="166"/>
  <c r="K12" i="166"/>
  <c r="L11" i="166"/>
  <c r="K11" i="166"/>
  <c r="L10" i="166"/>
  <c r="K10" i="166"/>
  <c r="L9" i="166"/>
  <c r="K9" i="166"/>
  <c r="L8" i="166"/>
  <c r="M8" i="166" s="1"/>
  <c r="K8" i="166"/>
  <c r="K4" i="166"/>
  <c r="M25" i="166" s="1"/>
  <c r="J4" i="166"/>
  <c r="L32" i="166" s="1"/>
  <c r="K35" i="165"/>
  <c r="K34" i="165"/>
  <c r="K33" i="165"/>
  <c r="K32" i="165"/>
  <c r="K31" i="165"/>
  <c r="L27" i="165"/>
  <c r="L26" i="165"/>
  <c r="L25" i="165"/>
  <c r="L24" i="165"/>
  <c r="L23" i="165"/>
  <c r="L19" i="165"/>
  <c r="K19" i="165"/>
  <c r="L18" i="165"/>
  <c r="K18" i="165"/>
  <c r="L17" i="165"/>
  <c r="M17" i="165" s="1"/>
  <c r="K17" i="165"/>
  <c r="L16" i="165"/>
  <c r="K16" i="165"/>
  <c r="L15" i="165"/>
  <c r="M15" i="165" s="1"/>
  <c r="K15" i="165"/>
  <c r="L14" i="165"/>
  <c r="M14" i="165" s="1"/>
  <c r="K14" i="165"/>
  <c r="L13" i="165"/>
  <c r="K13" i="165"/>
  <c r="L12" i="165"/>
  <c r="K12" i="165"/>
  <c r="L11" i="165"/>
  <c r="K11" i="165"/>
  <c r="L10" i="165"/>
  <c r="M10" i="165" s="1"/>
  <c r="K10" i="165"/>
  <c r="L9" i="165"/>
  <c r="M9" i="165" s="1"/>
  <c r="K9" i="165"/>
  <c r="L8" i="165"/>
  <c r="K8" i="165"/>
  <c r="K4" i="165"/>
  <c r="M26" i="165" s="1"/>
  <c r="J4" i="165"/>
  <c r="K35" i="164"/>
  <c r="K34" i="164"/>
  <c r="K33" i="164"/>
  <c r="K32" i="164"/>
  <c r="L32" i="164" s="1"/>
  <c r="K31" i="164"/>
  <c r="L27" i="164"/>
  <c r="L26" i="164"/>
  <c r="L25" i="164"/>
  <c r="L24" i="164"/>
  <c r="L23" i="164"/>
  <c r="L19" i="164"/>
  <c r="K19" i="164"/>
  <c r="L18" i="164"/>
  <c r="K18" i="164"/>
  <c r="M18" i="164" s="1"/>
  <c r="L17" i="164"/>
  <c r="K17" i="164"/>
  <c r="L16" i="164"/>
  <c r="M16" i="164" s="1"/>
  <c r="K16" i="164"/>
  <c r="L15" i="164"/>
  <c r="K15" i="164"/>
  <c r="L14" i="164"/>
  <c r="K14" i="164"/>
  <c r="M14" i="164" s="1"/>
  <c r="L13" i="164"/>
  <c r="M13" i="164" s="1"/>
  <c r="K13" i="164"/>
  <c r="L12" i="164"/>
  <c r="K12" i="164"/>
  <c r="M12" i="164" s="1"/>
  <c r="L11" i="164"/>
  <c r="M11" i="164" s="1"/>
  <c r="K11" i="164"/>
  <c r="L10" i="164"/>
  <c r="K10" i="164"/>
  <c r="L9" i="164"/>
  <c r="K9" i="164"/>
  <c r="L8" i="164"/>
  <c r="K8" i="164"/>
  <c r="K4" i="164"/>
  <c r="M25" i="164" s="1"/>
  <c r="J4" i="164"/>
  <c r="L4" i="164" s="1"/>
  <c r="K35" i="163"/>
  <c r="K34" i="163"/>
  <c r="K33" i="163"/>
  <c r="K32" i="163"/>
  <c r="L32" i="163" s="1"/>
  <c r="K31" i="163"/>
  <c r="L27" i="163"/>
  <c r="L26" i="163"/>
  <c r="L25" i="163"/>
  <c r="L24" i="163"/>
  <c r="L23" i="163"/>
  <c r="L19" i="163"/>
  <c r="K19" i="163"/>
  <c r="L18" i="163"/>
  <c r="K18" i="163"/>
  <c r="L17" i="163"/>
  <c r="K17" i="163"/>
  <c r="L16" i="163"/>
  <c r="M16" i="163" s="1"/>
  <c r="K16" i="163"/>
  <c r="L15" i="163"/>
  <c r="K15" i="163"/>
  <c r="L14" i="163"/>
  <c r="K14" i="163"/>
  <c r="L13" i="163"/>
  <c r="M13" i="163" s="1"/>
  <c r="K13" i="163"/>
  <c r="L12" i="163"/>
  <c r="K12" i="163"/>
  <c r="L11" i="163"/>
  <c r="K11" i="163"/>
  <c r="L10" i="163"/>
  <c r="K10" i="163"/>
  <c r="M10" i="163" s="1"/>
  <c r="L9" i="163"/>
  <c r="K9" i="163"/>
  <c r="L8" i="163"/>
  <c r="M8" i="163" s="1"/>
  <c r="K8" i="163"/>
  <c r="K4" i="163"/>
  <c r="M25" i="163" s="1"/>
  <c r="J4" i="163"/>
  <c r="K35" i="162"/>
  <c r="K34" i="162"/>
  <c r="K33" i="162"/>
  <c r="K32" i="162"/>
  <c r="K31" i="162"/>
  <c r="L27" i="162"/>
  <c r="L26" i="162"/>
  <c r="L25" i="162"/>
  <c r="L24" i="162"/>
  <c r="L23" i="162"/>
  <c r="L19" i="162"/>
  <c r="M19" i="162" s="1"/>
  <c r="K19" i="162"/>
  <c r="L18" i="162"/>
  <c r="K18" i="162"/>
  <c r="M18" i="162" s="1"/>
  <c r="L17" i="162"/>
  <c r="M17" i="162" s="1"/>
  <c r="K17" i="162"/>
  <c r="L16" i="162"/>
  <c r="M16" i="162" s="1"/>
  <c r="K16" i="162"/>
  <c r="L15" i="162"/>
  <c r="M15" i="162" s="1"/>
  <c r="K15" i="162"/>
  <c r="L14" i="162"/>
  <c r="K14" i="162"/>
  <c r="L13" i="162"/>
  <c r="K13" i="162"/>
  <c r="L12" i="162"/>
  <c r="M12" i="162" s="1"/>
  <c r="K12" i="162"/>
  <c r="L11" i="162"/>
  <c r="K11" i="162"/>
  <c r="L10" i="162"/>
  <c r="K10" i="162"/>
  <c r="L9" i="162"/>
  <c r="M9" i="162" s="1"/>
  <c r="K9" i="162"/>
  <c r="L8" i="162"/>
  <c r="K8" i="162"/>
  <c r="M8" i="162" s="1"/>
  <c r="K4" i="162"/>
  <c r="J4" i="162"/>
  <c r="L4" i="162" s="1"/>
  <c r="K35" i="161"/>
  <c r="K34" i="161"/>
  <c r="K33" i="161"/>
  <c r="K32" i="161"/>
  <c r="K31" i="161"/>
  <c r="L27" i="161"/>
  <c r="L26" i="161"/>
  <c r="L25" i="161"/>
  <c r="L24" i="161"/>
  <c r="L23" i="161"/>
  <c r="L19" i="161"/>
  <c r="M19" i="161" s="1"/>
  <c r="K19" i="161"/>
  <c r="L18" i="161"/>
  <c r="M18" i="161" s="1"/>
  <c r="K18" i="161"/>
  <c r="L17" i="161"/>
  <c r="M17" i="161" s="1"/>
  <c r="K17" i="161"/>
  <c r="L16" i="161"/>
  <c r="K16" i="161"/>
  <c r="M16" i="161" s="1"/>
  <c r="L15" i="161"/>
  <c r="M15" i="161" s="1"/>
  <c r="K15" i="161"/>
  <c r="L14" i="161"/>
  <c r="K14" i="161"/>
  <c r="L13" i="161"/>
  <c r="M13" i="161" s="1"/>
  <c r="K13" i="161"/>
  <c r="L12" i="161"/>
  <c r="K12" i="161"/>
  <c r="L11" i="161"/>
  <c r="K11" i="161"/>
  <c r="L10" i="161"/>
  <c r="M10" i="161" s="1"/>
  <c r="K10" i="161"/>
  <c r="L9" i="161"/>
  <c r="K9" i="161"/>
  <c r="L8" i="161"/>
  <c r="K8" i="161"/>
  <c r="K4" i="161"/>
  <c r="J4" i="161"/>
  <c r="K35" i="160"/>
  <c r="K34" i="160"/>
  <c r="K33" i="160"/>
  <c r="K32" i="160"/>
  <c r="K31" i="160"/>
  <c r="L27" i="160"/>
  <c r="L26" i="160"/>
  <c r="L25" i="160"/>
  <c r="L24" i="160"/>
  <c r="L23" i="160"/>
  <c r="L19" i="160"/>
  <c r="M19" i="160" s="1"/>
  <c r="K19" i="160"/>
  <c r="L18" i="160"/>
  <c r="M18" i="160" s="1"/>
  <c r="K18" i="160"/>
  <c r="L17" i="160"/>
  <c r="M17" i="160" s="1"/>
  <c r="K17" i="160"/>
  <c r="L16" i="160"/>
  <c r="K16" i="160"/>
  <c r="L15" i="160"/>
  <c r="M15" i="160" s="1"/>
  <c r="K15" i="160"/>
  <c r="L14" i="160"/>
  <c r="K14" i="160"/>
  <c r="M14" i="160" s="1"/>
  <c r="L13" i="160"/>
  <c r="M13" i="160" s="1"/>
  <c r="K13" i="160"/>
  <c r="L12" i="160"/>
  <c r="K12" i="160"/>
  <c r="L11" i="160"/>
  <c r="M11" i="160" s="1"/>
  <c r="K11" i="160"/>
  <c r="L10" i="160"/>
  <c r="M10" i="160" s="1"/>
  <c r="K10" i="160"/>
  <c r="L9" i="160"/>
  <c r="K9" i="160"/>
  <c r="L8" i="160"/>
  <c r="M8" i="160" s="1"/>
  <c r="K8" i="160"/>
  <c r="K4" i="160"/>
  <c r="J4" i="160"/>
  <c r="L4" i="160" s="1"/>
  <c r="K35" i="159"/>
  <c r="K34" i="159"/>
  <c r="K33" i="159"/>
  <c r="K32" i="159"/>
  <c r="L32" i="159" s="1"/>
  <c r="K31" i="159"/>
  <c r="L27" i="159"/>
  <c r="L26" i="159"/>
  <c r="L25" i="159"/>
  <c r="L24" i="159"/>
  <c r="L23" i="159"/>
  <c r="L19" i="159"/>
  <c r="K19" i="159"/>
  <c r="L18" i="159"/>
  <c r="K18" i="159"/>
  <c r="L17" i="159"/>
  <c r="K17" i="159"/>
  <c r="L16" i="159"/>
  <c r="K16" i="159"/>
  <c r="L15" i="159"/>
  <c r="K15" i="159"/>
  <c r="L14" i="159"/>
  <c r="K14" i="159"/>
  <c r="L13" i="159"/>
  <c r="M13" i="159" s="1"/>
  <c r="K13" i="159"/>
  <c r="L12" i="159"/>
  <c r="M12" i="159" s="1"/>
  <c r="K12" i="159"/>
  <c r="L11" i="159"/>
  <c r="M11" i="159" s="1"/>
  <c r="K11" i="159"/>
  <c r="L10" i="159"/>
  <c r="K10" i="159"/>
  <c r="M10" i="159" s="1"/>
  <c r="L9" i="159"/>
  <c r="M9" i="159" s="1"/>
  <c r="K9" i="159"/>
  <c r="L8" i="159"/>
  <c r="M8" i="159" s="1"/>
  <c r="K8" i="159"/>
  <c r="L4" i="159"/>
  <c r="K4" i="159"/>
  <c r="M25" i="159" s="1"/>
  <c r="J4" i="159"/>
  <c r="K35" i="158"/>
  <c r="K34" i="158"/>
  <c r="K33" i="158"/>
  <c r="K32" i="158"/>
  <c r="K31" i="158"/>
  <c r="L27" i="158"/>
  <c r="L26" i="158"/>
  <c r="L25" i="158"/>
  <c r="L24" i="158"/>
  <c r="L23" i="158"/>
  <c r="L19" i="158"/>
  <c r="M19" i="158" s="1"/>
  <c r="K19" i="158"/>
  <c r="L18" i="158"/>
  <c r="M18" i="158" s="1"/>
  <c r="K18" i="158"/>
  <c r="L17" i="158"/>
  <c r="K17" i="158"/>
  <c r="L16" i="158"/>
  <c r="K16" i="158"/>
  <c r="L15" i="158"/>
  <c r="M15" i="158" s="1"/>
  <c r="K15" i="158"/>
  <c r="L14" i="158"/>
  <c r="K14" i="158"/>
  <c r="L13" i="158"/>
  <c r="K13" i="158"/>
  <c r="L12" i="158"/>
  <c r="M12" i="158" s="1"/>
  <c r="K12" i="158"/>
  <c r="L11" i="158"/>
  <c r="K11" i="158"/>
  <c r="L10" i="158"/>
  <c r="M10" i="158" s="1"/>
  <c r="K10" i="158"/>
  <c r="L9" i="158"/>
  <c r="K9" i="158"/>
  <c r="L8" i="158"/>
  <c r="M8" i="158" s="1"/>
  <c r="K8" i="158"/>
  <c r="L4" i="158"/>
  <c r="K4" i="158"/>
  <c r="J4" i="158"/>
  <c r="K35" i="157"/>
  <c r="K34" i="157"/>
  <c r="K33" i="157"/>
  <c r="K32" i="157"/>
  <c r="K31" i="157"/>
  <c r="L27" i="157"/>
  <c r="L26" i="157"/>
  <c r="L25" i="157"/>
  <c r="L24" i="157"/>
  <c r="L23" i="157"/>
  <c r="L19" i="157"/>
  <c r="K19" i="157"/>
  <c r="L18" i="157"/>
  <c r="K18" i="157"/>
  <c r="L17" i="157"/>
  <c r="K17" i="157"/>
  <c r="L16" i="157"/>
  <c r="K16" i="157"/>
  <c r="L15" i="157"/>
  <c r="K15" i="157"/>
  <c r="L14" i="157"/>
  <c r="K14" i="157"/>
  <c r="L13" i="157"/>
  <c r="K13" i="157"/>
  <c r="L12" i="157"/>
  <c r="M12" i="157" s="1"/>
  <c r="K12" i="157"/>
  <c r="L11" i="157"/>
  <c r="K11" i="157"/>
  <c r="L10" i="157"/>
  <c r="M10" i="157" s="1"/>
  <c r="K10" i="157"/>
  <c r="L9" i="157"/>
  <c r="K9" i="157"/>
  <c r="L8" i="157"/>
  <c r="M8" i="157" s="1"/>
  <c r="K8" i="157"/>
  <c r="K4" i="157"/>
  <c r="J4" i="157"/>
  <c r="K35" i="156"/>
  <c r="K34" i="156"/>
  <c r="K33" i="156"/>
  <c r="K32" i="156"/>
  <c r="K31" i="156"/>
  <c r="L27" i="156"/>
  <c r="L26" i="156"/>
  <c r="L25" i="156"/>
  <c r="L24" i="156"/>
  <c r="L23" i="156"/>
  <c r="L19" i="156"/>
  <c r="M19" i="156" s="1"/>
  <c r="K19" i="156"/>
  <c r="L18" i="156"/>
  <c r="K18" i="156"/>
  <c r="M18" i="156" s="1"/>
  <c r="L17" i="156"/>
  <c r="M17" i="156" s="1"/>
  <c r="K17" i="156"/>
  <c r="L16" i="156"/>
  <c r="K16" i="156"/>
  <c r="L15" i="156"/>
  <c r="M15" i="156" s="1"/>
  <c r="K15" i="156"/>
  <c r="L14" i="156"/>
  <c r="K14" i="156"/>
  <c r="M14" i="156" s="1"/>
  <c r="L13" i="156"/>
  <c r="M13" i="156" s="1"/>
  <c r="K13" i="156"/>
  <c r="L12" i="156"/>
  <c r="M12" i="156" s="1"/>
  <c r="K12" i="156"/>
  <c r="L11" i="156"/>
  <c r="K11" i="156"/>
  <c r="L10" i="156"/>
  <c r="K10" i="156"/>
  <c r="L9" i="156"/>
  <c r="K9" i="156"/>
  <c r="L8" i="156"/>
  <c r="M8" i="156" s="1"/>
  <c r="K8" i="156"/>
  <c r="K4" i="156"/>
  <c r="J4" i="156"/>
  <c r="L4" i="156" s="1"/>
  <c r="K35" i="155"/>
  <c r="K34" i="155"/>
  <c r="K33" i="155"/>
  <c r="K32" i="155"/>
  <c r="K31" i="155"/>
  <c r="L27" i="155"/>
  <c r="L26" i="155"/>
  <c r="L25" i="155"/>
  <c r="L24" i="155"/>
  <c r="L23" i="155"/>
  <c r="L19" i="155"/>
  <c r="K19" i="155"/>
  <c r="L18" i="155"/>
  <c r="K18" i="155"/>
  <c r="L17" i="155"/>
  <c r="K17" i="155"/>
  <c r="L16" i="155"/>
  <c r="K16" i="155"/>
  <c r="L15" i="155"/>
  <c r="M15" i="155" s="1"/>
  <c r="K15" i="155"/>
  <c r="L14" i="155"/>
  <c r="M14" i="155" s="1"/>
  <c r="K14" i="155"/>
  <c r="L13" i="155"/>
  <c r="M13" i="155" s="1"/>
  <c r="K13" i="155"/>
  <c r="L12" i="155"/>
  <c r="K12" i="155"/>
  <c r="L11" i="155"/>
  <c r="K11" i="155"/>
  <c r="L10" i="155"/>
  <c r="K10" i="155"/>
  <c r="L9" i="155"/>
  <c r="K9" i="155"/>
  <c r="L8" i="155"/>
  <c r="K8" i="155"/>
  <c r="K4" i="155"/>
  <c r="J4" i="155"/>
  <c r="M39" i="13"/>
  <c r="M40" i="13"/>
  <c r="M121" i="13"/>
  <c r="M120" i="13"/>
  <c r="M119" i="13"/>
  <c r="M118" i="13"/>
  <c r="M117" i="13"/>
  <c r="M116" i="13"/>
  <c r="M115" i="13"/>
  <c r="M114" i="13"/>
  <c r="M113" i="13"/>
  <c r="M112" i="13"/>
  <c r="M111" i="13"/>
  <c r="M110" i="13"/>
  <c r="M109" i="13"/>
  <c r="M108" i="13"/>
  <c r="M107" i="13"/>
  <c r="M106" i="13"/>
  <c r="M105" i="13"/>
  <c r="M104" i="13"/>
  <c r="M103" i="13"/>
  <c r="M102" i="13"/>
  <c r="M101" i="13"/>
  <c r="M100" i="13"/>
  <c r="M99" i="13"/>
  <c r="M98" i="13"/>
  <c r="M97" i="13"/>
  <c r="M96" i="13"/>
  <c r="M95" i="13"/>
  <c r="M94" i="13"/>
  <c r="M93" i="13"/>
  <c r="M92" i="13"/>
  <c r="M91" i="13"/>
  <c r="M90" i="13"/>
  <c r="M89" i="13"/>
  <c r="M88" i="13"/>
  <c r="M87" i="13"/>
  <c r="M86" i="13"/>
  <c r="M85" i="13"/>
  <c r="M84" i="13"/>
  <c r="M83" i="13"/>
  <c r="M82" i="13"/>
  <c r="M81" i="13"/>
  <c r="M80" i="13"/>
  <c r="M79" i="13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7" i="13"/>
  <c r="M56" i="13"/>
  <c r="M58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K35" i="124"/>
  <c r="L35" i="124" s="1"/>
  <c r="K34" i="124"/>
  <c r="L34" i="124" s="1"/>
  <c r="K33" i="124"/>
  <c r="L33" i="124" s="1"/>
  <c r="K32" i="124"/>
  <c r="L32" i="124" s="1"/>
  <c r="K31" i="124"/>
  <c r="L27" i="124"/>
  <c r="L26" i="124"/>
  <c r="L25" i="124"/>
  <c r="L24" i="124"/>
  <c r="L23" i="124"/>
  <c r="L19" i="124"/>
  <c r="K19" i="124"/>
  <c r="L18" i="124"/>
  <c r="K18" i="124"/>
  <c r="L17" i="124"/>
  <c r="K17" i="124"/>
  <c r="L16" i="124"/>
  <c r="K16" i="124"/>
  <c r="L15" i="124"/>
  <c r="K15" i="124"/>
  <c r="L14" i="124"/>
  <c r="K14" i="124"/>
  <c r="L13" i="124"/>
  <c r="K13" i="124"/>
  <c r="L12" i="124"/>
  <c r="K12" i="124"/>
  <c r="L11" i="124"/>
  <c r="K11" i="124"/>
  <c r="L10" i="124"/>
  <c r="M10" i="124" s="1"/>
  <c r="K10" i="124"/>
  <c r="L9" i="124"/>
  <c r="M9" i="124" s="1"/>
  <c r="K9" i="124"/>
  <c r="L8" i="124"/>
  <c r="M8" i="124" s="1"/>
  <c r="K8" i="124"/>
  <c r="K4" i="124"/>
  <c r="J4" i="124"/>
  <c r="L4" i="124" s="1"/>
  <c r="L19" i="13"/>
  <c r="L18" i="13"/>
  <c r="L17" i="13"/>
  <c r="L16" i="13"/>
  <c r="L15" i="13"/>
  <c r="L14" i="13"/>
  <c r="L13" i="13"/>
  <c r="L12" i="13"/>
  <c r="L11" i="13"/>
  <c r="L10" i="13"/>
  <c r="L9" i="13"/>
  <c r="K9" i="13"/>
  <c r="L8" i="13"/>
  <c r="K19" i="13"/>
  <c r="K18" i="13"/>
  <c r="K17" i="13"/>
  <c r="K16" i="13"/>
  <c r="K15" i="13"/>
  <c r="K14" i="13"/>
  <c r="K13" i="13"/>
  <c r="K12" i="13"/>
  <c r="K11" i="13"/>
  <c r="K10" i="13"/>
  <c r="K8" i="13"/>
  <c r="M13" i="191" l="1"/>
  <c r="M17" i="191"/>
  <c r="M25" i="191"/>
  <c r="M14" i="191"/>
  <c r="M26" i="191"/>
  <c r="M27" i="191"/>
  <c r="L31" i="191"/>
  <c r="L32" i="191"/>
  <c r="M12" i="191"/>
  <c r="L33" i="191"/>
  <c r="M16" i="191"/>
  <c r="M23" i="191"/>
  <c r="L34" i="191"/>
  <c r="M24" i="191"/>
  <c r="L35" i="191"/>
  <c r="M9" i="190"/>
  <c r="L35" i="190"/>
  <c r="M10" i="190"/>
  <c r="M26" i="190"/>
  <c r="M27" i="190"/>
  <c r="L31" i="190"/>
  <c r="M12" i="190"/>
  <c r="M19" i="190"/>
  <c r="M23" i="190"/>
  <c r="L33" i="190"/>
  <c r="M24" i="190"/>
  <c r="L34" i="190"/>
  <c r="L4" i="189"/>
  <c r="M9" i="189"/>
  <c r="M13" i="189"/>
  <c r="M10" i="189"/>
  <c r="L32" i="189"/>
  <c r="M16" i="189"/>
  <c r="M24" i="189"/>
  <c r="L34" i="189"/>
  <c r="L35" i="189"/>
  <c r="M17" i="189"/>
  <c r="M26" i="189"/>
  <c r="M14" i="189"/>
  <c r="M18" i="189"/>
  <c r="M27" i="189"/>
  <c r="L31" i="189"/>
  <c r="M19" i="189"/>
  <c r="M23" i="189"/>
  <c r="L33" i="189"/>
  <c r="M9" i="188"/>
  <c r="M16" i="188"/>
  <c r="M24" i="188"/>
  <c r="L34" i="188"/>
  <c r="M10" i="188"/>
  <c r="L35" i="188"/>
  <c r="M17" i="188"/>
  <c r="M26" i="188"/>
  <c r="M18" i="188"/>
  <c r="M27" i="188"/>
  <c r="L31" i="188"/>
  <c r="M12" i="188"/>
  <c r="M19" i="188"/>
  <c r="M23" i="188"/>
  <c r="L33" i="188"/>
  <c r="L4" i="187"/>
  <c r="M15" i="187"/>
  <c r="M12" i="187"/>
  <c r="M16" i="187"/>
  <c r="M9" i="187"/>
  <c r="M23" i="187"/>
  <c r="L34" i="187"/>
  <c r="M24" i="187"/>
  <c r="L35" i="187"/>
  <c r="M13" i="187"/>
  <c r="M25" i="187"/>
  <c r="M10" i="187"/>
  <c r="M14" i="187"/>
  <c r="M17" i="187"/>
  <c r="M26" i="187"/>
  <c r="M18" i="187"/>
  <c r="M27" i="187"/>
  <c r="L31" i="187"/>
  <c r="L32" i="187"/>
  <c r="M19" i="187"/>
  <c r="L33" i="187"/>
  <c r="M8" i="186"/>
  <c r="M23" i="186"/>
  <c r="L33" i="186"/>
  <c r="M24" i="186"/>
  <c r="L34" i="186"/>
  <c r="L35" i="186"/>
  <c r="M17" i="186"/>
  <c r="M26" i="186"/>
  <c r="M14" i="186"/>
  <c r="M18" i="186"/>
  <c r="M27" i="186"/>
  <c r="L31" i="186"/>
  <c r="M15" i="186"/>
  <c r="M19" i="186"/>
  <c r="M24" i="185"/>
  <c r="L33" i="185"/>
  <c r="L34" i="185"/>
  <c r="M17" i="185"/>
  <c r="L35" i="185"/>
  <c r="M14" i="185"/>
  <c r="M18" i="185"/>
  <c r="M26" i="185"/>
  <c r="M27" i="185"/>
  <c r="M11" i="185"/>
  <c r="L31" i="185"/>
  <c r="M8" i="185"/>
  <c r="M23" i="185"/>
  <c r="M23" i="184"/>
  <c r="L33" i="184"/>
  <c r="M24" i="184"/>
  <c r="L34" i="184"/>
  <c r="L35" i="184"/>
  <c r="M17" i="184"/>
  <c r="M26" i="184"/>
  <c r="M18" i="184"/>
  <c r="M27" i="184"/>
  <c r="L4" i="184"/>
  <c r="M11" i="184"/>
  <c r="L31" i="184"/>
  <c r="M8" i="184"/>
  <c r="M15" i="184"/>
  <c r="M19" i="184"/>
  <c r="M15" i="183"/>
  <c r="M19" i="183"/>
  <c r="M12" i="183"/>
  <c r="M25" i="183"/>
  <c r="M10" i="183"/>
  <c r="L32" i="183"/>
  <c r="M24" i="183"/>
  <c r="L33" i="183"/>
  <c r="L34" i="183"/>
  <c r="M17" i="183"/>
  <c r="L35" i="183"/>
  <c r="M14" i="183"/>
  <c r="M18" i="183"/>
  <c r="M26" i="183"/>
  <c r="M27" i="183"/>
  <c r="M11" i="183"/>
  <c r="L31" i="183"/>
  <c r="M8" i="183"/>
  <c r="M23" i="183"/>
  <c r="M23" i="182"/>
  <c r="L33" i="182"/>
  <c r="M24" i="182"/>
  <c r="L34" i="182"/>
  <c r="M10" i="182"/>
  <c r="L35" i="182"/>
  <c r="M17" i="182"/>
  <c r="M26" i="182"/>
  <c r="M18" i="182"/>
  <c r="M27" i="182"/>
  <c r="L4" i="182"/>
  <c r="M11" i="182"/>
  <c r="L31" i="182"/>
  <c r="M8" i="182"/>
  <c r="M15" i="182"/>
  <c r="M19" i="182"/>
  <c r="M24" i="181"/>
  <c r="L33" i="181"/>
  <c r="L34" i="181"/>
  <c r="M17" i="181"/>
  <c r="L35" i="181"/>
  <c r="M14" i="181"/>
  <c r="M18" i="181"/>
  <c r="M26" i="181"/>
  <c r="M27" i="181"/>
  <c r="M11" i="181"/>
  <c r="L31" i="181"/>
  <c r="M8" i="181"/>
  <c r="M23" i="181"/>
  <c r="M15" i="180"/>
  <c r="M19" i="180"/>
  <c r="M12" i="180"/>
  <c r="M25" i="180"/>
  <c r="L32" i="180"/>
  <c r="M16" i="180"/>
  <c r="M24" i="180"/>
  <c r="L33" i="180"/>
  <c r="L34" i="180"/>
  <c r="M17" i="180"/>
  <c r="L35" i="180"/>
  <c r="M10" i="180"/>
  <c r="M14" i="180"/>
  <c r="M18" i="180"/>
  <c r="M26" i="180"/>
  <c r="M27" i="180"/>
  <c r="M11" i="180"/>
  <c r="L31" i="180"/>
  <c r="M8" i="180"/>
  <c r="M23" i="180"/>
  <c r="M19" i="179"/>
  <c r="L33" i="179"/>
  <c r="M23" i="179"/>
  <c r="L34" i="179"/>
  <c r="M13" i="179"/>
  <c r="M24" i="179"/>
  <c r="L35" i="179"/>
  <c r="M17" i="179"/>
  <c r="M25" i="179"/>
  <c r="M26" i="179"/>
  <c r="M27" i="179"/>
  <c r="L31" i="179"/>
  <c r="L32" i="179"/>
  <c r="M8" i="178"/>
  <c r="M23" i="178"/>
  <c r="L34" i="178"/>
  <c r="M25" i="178"/>
  <c r="L32" i="178"/>
  <c r="M16" i="178"/>
  <c r="M24" i="178"/>
  <c r="L33" i="178"/>
  <c r="M10" i="178"/>
  <c r="M17" i="178"/>
  <c r="L35" i="178"/>
  <c r="M14" i="178"/>
  <c r="M18" i="178"/>
  <c r="M26" i="178"/>
  <c r="M27" i="178"/>
  <c r="M11" i="178"/>
  <c r="L31" i="178"/>
  <c r="M12" i="178"/>
  <c r="M15" i="178"/>
  <c r="M19" i="178"/>
  <c r="M24" i="177"/>
  <c r="L33" i="177"/>
  <c r="L34" i="177"/>
  <c r="M17" i="177"/>
  <c r="L35" i="177"/>
  <c r="M14" i="177"/>
  <c r="M18" i="177"/>
  <c r="M26" i="177"/>
  <c r="M27" i="177"/>
  <c r="M11" i="177"/>
  <c r="L31" i="177"/>
  <c r="M8" i="177"/>
  <c r="M23" i="177"/>
  <c r="M24" i="176"/>
  <c r="L33" i="176"/>
  <c r="L34" i="176"/>
  <c r="M17" i="176"/>
  <c r="L35" i="176"/>
  <c r="M14" i="176"/>
  <c r="M18" i="176"/>
  <c r="M26" i="176"/>
  <c r="M27" i="176"/>
  <c r="M11" i="176"/>
  <c r="L31" i="176"/>
  <c r="M8" i="176"/>
  <c r="M23" i="176"/>
  <c r="M12" i="175"/>
  <c r="M16" i="175"/>
  <c r="M10" i="175"/>
  <c r="M18" i="175"/>
  <c r="L4" i="175"/>
  <c r="M19" i="175"/>
  <c r="M9" i="175"/>
  <c r="L33" i="175"/>
  <c r="M23" i="175"/>
  <c r="L34" i="175"/>
  <c r="M24" i="175"/>
  <c r="L35" i="175"/>
  <c r="M13" i="175"/>
  <c r="M17" i="175"/>
  <c r="M25" i="175"/>
  <c r="M14" i="175"/>
  <c r="M26" i="175"/>
  <c r="M27" i="175"/>
  <c r="M11" i="175"/>
  <c r="L31" i="175"/>
  <c r="M8" i="175"/>
  <c r="M15" i="175"/>
  <c r="L32" i="175"/>
  <c r="M19" i="174"/>
  <c r="L33" i="174"/>
  <c r="M23" i="174"/>
  <c r="L34" i="174"/>
  <c r="M24" i="174"/>
  <c r="L35" i="174"/>
  <c r="M17" i="174"/>
  <c r="M25" i="174"/>
  <c r="M26" i="174"/>
  <c r="M27" i="174"/>
  <c r="M11" i="174"/>
  <c r="L31" i="174"/>
  <c r="L32" i="174"/>
  <c r="M23" i="173"/>
  <c r="M24" i="173"/>
  <c r="L34" i="173"/>
  <c r="M25" i="173"/>
  <c r="L35" i="173"/>
  <c r="M14" i="173"/>
  <c r="M8" i="173"/>
  <c r="M27" i="173"/>
  <c r="L31" i="173"/>
  <c r="L32" i="173"/>
  <c r="M9" i="172"/>
  <c r="M24" i="172"/>
  <c r="L35" i="172"/>
  <c r="M25" i="172"/>
  <c r="M26" i="172"/>
  <c r="L4" i="172"/>
  <c r="M27" i="172"/>
  <c r="L31" i="172"/>
  <c r="L32" i="172"/>
  <c r="M12" i="172"/>
  <c r="L33" i="172"/>
  <c r="M16" i="172"/>
  <c r="M23" i="172"/>
  <c r="L34" i="172"/>
  <c r="M13" i="171"/>
  <c r="M12" i="171"/>
  <c r="M15" i="171"/>
  <c r="M19" i="171"/>
  <c r="L33" i="171"/>
  <c r="M23" i="171"/>
  <c r="L34" i="171"/>
  <c r="M24" i="171"/>
  <c r="L35" i="171"/>
  <c r="M9" i="171"/>
  <c r="M10" i="171"/>
  <c r="M26" i="171"/>
  <c r="M14" i="171"/>
  <c r="M18" i="171"/>
  <c r="M27" i="171"/>
  <c r="L31" i="171"/>
  <c r="L4" i="171"/>
  <c r="M11" i="171"/>
  <c r="L32" i="170"/>
  <c r="M13" i="170"/>
  <c r="M17" i="170"/>
  <c r="M24" i="170"/>
  <c r="M25" i="170"/>
  <c r="L34" i="170"/>
  <c r="L35" i="170"/>
  <c r="M27" i="170"/>
  <c r="M12" i="170"/>
  <c r="L31" i="170"/>
  <c r="M9" i="169"/>
  <c r="L34" i="169"/>
  <c r="M10" i="169"/>
  <c r="L35" i="169"/>
  <c r="M26" i="169"/>
  <c r="M27" i="169"/>
  <c r="L31" i="169"/>
  <c r="M8" i="169"/>
  <c r="M23" i="169"/>
  <c r="M24" i="169"/>
  <c r="L33" i="169"/>
  <c r="M12" i="168"/>
  <c r="M13" i="168"/>
  <c r="M17" i="168"/>
  <c r="M14" i="168"/>
  <c r="M18" i="168"/>
  <c r="L4" i="168"/>
  <c r="L32" i="168"/>
  <c r="M9" i="168"/>
  <c r="L34" i="168"/>
  <c r="M10" i="168"/>
  <c r="L35" i="168"/>
  <c r="M26" i="168"/>
  <c r="M27" i="168"/>
  <c r="L31" i="168"/>
  <c r="M8" i="168"/>
  <c r="M23" i="168"/>
  <c r="M24" i="168"/>
  <c r="L33" i="168"/>
  <c r="M25" i="167"/>
  <c r="L34" i="167"/>
  <c r="L35" i="167"/>
  <c r="M8" i="167"/>
  <c r="M27" i="167"/>
  <c r="L31" i="167"/>
  <c r="L32" i="167"/>
  <c r="M23" i="167"/>
  <c r="M13" i="167"/>
  <c r="M17" i="167"/>
  <c r="M24" i="167"/>
  <c r="M10" i="166"/>
  <c r="M17" i="166"/>
  <c r="M26" i="166"/>
  <c r="M14" i="166"/>
  <c r="M18" i="166"/>
  <c r="M27" i="166"/>
  <c r="L31" i="166"/>
  <c r="L4" i="166"/>
  <c r="M11" i="166"/>
  <c r="M12" i="166"/>
  <c r="M23" i="166"/>
  <c r="L33" i="166"/>
  <c r="M24" i="166"/>
  <c r="L34" i="166"/>
  <c r="M9" i="166"/>
  <c r="L35" i="166"/>
  <c r="M12" i="165"/>
  <c r="M16" i="165"/>
  <c r="M24" i="165"/>
  <c r="L35" i="165"/>
  <c r="L31" i="165"/>
  <c r="L4" i="165"/>
  <c r="M19" i="165"/>
  <c r="L33" i="165"/>
  <c r="M11" i="165"/>
  <c r="M18" i="165"/>
  <c r="M27" i="165"/>
  <c r="M8" i="165"/>
  <c r="M23" i="165"/>
  <c r="L32" i="165"/>
  <c r="M13" i="165"/>
  <c r="M25" i="165"/>
  <c r="L34" i="165"/>
  <c r="L31" i="164"/>
  <c r="M15" i="164"/>
  <c r="M19" i="164"/>
  <c r="M8" i="164"/>
  <c r="M23" i="164"/>
  <c r="L33" i="164"/>
  <c r="M24" i="164"/>
  <c r="L34" i="164"/>
  <c r="L35" i="164"/>
  <c r="M9" i="164"/>
  <c r="M10" i="164"/>
  <c r="M17" i="164"/>
  <c r="M26" i="164"/>
  <c r="M27" i="164"/>
  <c r="M9" i="163"/>
  <c r="M14" i="163"/>
  <c r="M18" i="163"/>
  <c r="M27" i="163"/>
  <c r="L31" i="163"/>
  <c r="L4" i="163"/>
  <c r="M11" i="163"/>
  <c r="M12" i="163"/>
  <c r="M15" i="163"/>
  <c r="M19" i="163"/>
  <c r="M23" i="163"/>
  <c r="L33" i="163"/>
  <c r="M24" i="163"/>
  <c r="L34" i="163"/>
  <c r="L35" i="163"/>
  <c r="M17" i="163"/>
  <c r="M26" i="163"/>
  <c r="M10" i="162"/>
  <c r="M13" i="162"/>
  <c r="M25" i="162"/>
  <c r="M14" i="162"/>
  <c r="M26" i="162"/>
  <c r="M27" i="162"/>
  <c r="M11" i="162"/>
  <c r="L31" i="162"/>
  <c r="L32" i="162"/>
  <c r="L33" i="162"/>
  <c r="M23" i="162"/>
  <c r="L34" i="162"/>
  <c r="M24" i="162"/>
  <c r="L35" i="162"/>
  <c r="M8" i="161"/>
  <c r="M12" i="161"/>
  <c r="L4" i="161"/>
  <c r="M24" i="161"/>
  <c r="L35" i="161"/>
  <c r="M25" i="161"/>
  <c r="M14" i="161"/>
  <c r="M26" i="161"/>
  <c r="M27" i="161"/>
  <c r="M11" i="161"/>
  <c r="L31" i="161"/>
  <c r="L32" i="161"/>
  <c r="L33" i="161"/>
  <c r="M9" i="161"/>
  <c r="M23" i="161"/>
  <c r="L34" i="161"/>
  <c r="M9" i="160"/>
  <c r="M24" i="160"/>
  <c r="L35" i="160"/>
  <c r="M25" i="160"/>
  <c r="M26" i="160"/>
  <c r="M27" i="160"/>
  <c r="L31" i="160"/>
  <c r="L32" i="160"/>
  <c r="M12" i="160"/>
  <c r="L33" i="160"/>
  <c r="M16" i="160"/>
  <c r="M23" i="160"/>
  <c r="L34" i="160"/>
  <c r="M16" i="159"/>
  <c r="M24" i="159"/>
  <c r="L34" i="159"/>
  <c r="L35" i="159"/>
  <c r="M17" i="159"/>
  <c r="M26" i="159"/>
  <c r="M14" i="159"/>
  <c r="M18" i="159"/>
  <c r="M27" i="159"/>
  <c r="L31" i="159"/>
  <c r="M15" i="159"/>
  <c r="M19" i="159"/>
  <c r="M23" i="159"/>
  <c r="L33" i="159"/>
  <c r="M9" i="158"/>
  <c r="M16" i="158"/>
  <c r="M23" i="158"/>
  <c r="L34" i="158"/>
  <c r="M24" i="158"/>
  <c r="L35" i="158"/>
  <c r="M17" i="158"/>
  <c r="M25" i="158"/>
  <c r="M13" i="158"/>
  <c r="M14" i="158"/>
  <c r="M26" i="158"/>
  <c r="M27" i="158"/>
  <c r="M11" i="158"/>
  <c r="L31" i="158"/>
  <c r="L32" i="158"/>
  <c r="L33" i="158"/>
  <c r="M15" i="157"/>
  <c r="M13" i="157"/>
  <c r="L4" i="157"/>
  <c r="M18" i="157"/>
  <c r="M19" i="157"/>
  <c r="M9" i="157"/>
  <c r="M16" i="157"/>
  <c r="M23" i="157"/>
  <c r="L34" i="157"/>
  <c r="M24" i="157"/>
  <c r="L35" i="157"/>
  <c r="M17" i="157"/>
  <c r="M25" i="157"/>
  <c r="M14" i="157"/>
  <c r="M26" i="157"/>
  <c r="M27" i="157"/>
  <c r="M11" i="157"/>
  <c r="L31" i="157"/>
  <c r="L32" i="157"/>
  <c r="L33" i="157"/>
  <c r="M16" i="156"/>
  <c r="M23" i="156"/>
  <c r="L34" i="156"/>
  <c r="M24" i="156"/>
  <c r="L35" i="156"/>
  <c r="M9" i="156"/>
  <c r="M25" i="156"/>
  <c r="M10" i="156"/>
  <c r="M26" i="156"/>
  <c r="M27" i="156"/>
  <c r="L31" i="156"/>
  <c r="M11" i="156"/>
  <c r="L32" i="156"/>
  <c r="L33" i="156"/>
  <c r="M10" i="155"/>
  <c r="M8" i="155"/>
  <c r="M12" i="155"/>
  <c r="M16" i="155"/>
  <c r="L32" i="155"/>
  <c r="M19" i="155"/>
  <c r="L33" i="155"/>
  <c r="M9" i="155"/>
  <c r="M23" i="155"/>
  <c r="L34" i="155"/>
  <c r="M24" i="155"/>
  <c r="L35" i="155"/>
  <c r="M25" i="155"/>
  <c r="L4" i="155"/>
  <c r="M17" i="155"/>
  <c r="M26" i="155"/>
  <c r="M27" i="155"/>
  <c r="M11" i="155"/>
  <c r="M18" i="155"/>
  <c r="L31" i="155"/>
  <c r="M13" i="124"/>
  <c r="M17" i="124"/>
  <c r="M14" i="124"/>
  <c r="M18" i="124"/>
  <c r="L31" i="124"/>
  <c r="M11" i="124"/>
  <c r="M15" i="124"/>
  <c r="M19" i="124"/>
  <c r="M12" i="124"/>
  <c r="M16" i="124"/>
  <c r="M25" i="124"/>
  <c r="M26" i="124"/>
  <c r="M23" i="124"/>
  <c r="M27" i="124"/>
  <c r="M24" i="124"/>
  <c r="K35" i="13"/>
  <c r="K34" i="13"/>
  <c r="K33" i="13"/>
  <c r="K32" i="13"/>
  <c r="K31" i="13"/>
  <c r="L23" i="13"/>
  <c r="L27" i="13"/>
  <c r="L26" i="13"/>
  <c r="L25" i="13"/>
  <c r="L24" i="13"/>
  <c r="M17" i="13"/>
  <c r="M15" i="13"/>
  <c r="M13" i="13"/>
  <c r="K4" i="13"/>
  <c r="J4" i="13"/>
  <c r="L33" i="13" l="1"/>
  <c r="L34" i="13"/>
  <c r="L31" i="13"/>
  <c r="L35" i="13"/>
  <c r="L32" i="13"/>
  <c r="M23" i="13"/>
  <c r="M19" i="13"/>
  <c r="M26" i="13"/>
  <c r="M24" i="13"/>
  <c r="M27" i="13"/>
  <c r="M25" i="13"/>
  <c r="L4" i="13"/>
  <c r="M9" i="13"/>
  <c r="M14" i="13"/>
  <c r="M18" i="13"/>
  <c r="M8" i="13"/>
  <c r="M10" i="13"/>
  <c r="M11" i="13"/>
  <c r="M12" i="13"/>
  <c r="M16" i="13"/>
</calcChain>
</file>

<file path=xl/sharedStrings.xml><?xml version="1.0" encoding="utf-8"?>
<sst xmlns="http://schemas.openxmlformats.org/spreadsheetml/2006/main" count="2963" uniqueCount="300">
  <si>
    <t>依頼日</t>
    <rPh sb="0" eb="2">
      <t>イライ</t>
    </rPh>
    <rPh sb="2" eb="3">
      <t>ビ</t>
    </rPh>
    <phoneticPr fontId="1"/>
  </si>
  <si>
    <t>依頼元所属</t>
    <rPh sb="0" eb="3">
      <t>イライモト</t>
    </rPh>
    <rPh sb="3" eb="5">
      <t>ショゾク</t>
    </rPh>
    <phoneticPr fontId="1"/>
  </si>
  <si>
    <t>依頼者名</t>
    <rPh sb="0" eb="4">
      <t>イライシャメイ</t>
    </rPh>
    <phoneticPr fontId="1"/>
  </si>
  <si>
    <t>ご利用者様名</t>
    <rPh sb="1" eb="5">
      <t>リヨウシャサマ</t>
    </rPh>
    <rPh sb="5" eb="6">
      <t>メイ</t>
    </rPh>
    <phoneticPr fontId="1"/>
  </si>
  <si>
    <t>備考</t>
    <rPh sb="0" eb="2">
      <t>ビコウ</t>
    </rPh>
    <phoneticPr fontId="1"/>
  </si>
  <si>
    <t>保険種別</t>
    <rPh sb="0" eb="4">
      <t>ホケンシュベツ</t>
    </rPh>
    <phoneticPr fontId="1"/>
  </si>
  <si>
    <t>医療</t>
    <rPh sb="0" eb="2">
      <t>イリョウ</t>
    </rPh>
    <phoneticPr fontId="1"/>
  </si>
  <si>
    <t>介護</t>
    <rPh sb="0" eb="2">
      <t>カイゴ</t>
    </rPh>
    <phoneticPr fontId="1"/>
  </si>
  <si>
    <t>不明</t>
    <rPh sb="0" eb="2">
      <t>フメイ</t>
    </rPh>
    <phoneticPr fontId="1"/>
  </si>
  <si>
    <t>×</t>
    <phoneticPr fontId="1"/>
  </si>
  <si>
    <t>自費</t>
    <rPh sb="0" eb="2">
      <t>ジヒ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</si>
  <si>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</si>
  <si>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</si>
  <si>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</si>
  <si>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</si>
  <si>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</si>
  <si>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</si>
  <si>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7月</t>
    <rPh sb="1" eb="2">
      <t>ガツ</t>
    </rPh>
    <phoneticPr fontId="1"/>
  </si>
  <si>
    <t>8月</t>
    <rPh sb="1" eb="2">
      <t>ガツ</t>
    </rPh>
    <phoneticPr fontId="1"/>
  </si>
  <si>
    <t>9月</t>
    <rPh sb="1" eb="2">
      <t>ガツ</t>
    </rPh>
    <phoneticPr fontId="1"/>
  </si>
  <si>
    <t>10月</t>
    <rPh sb="2" eb="3">
      <t>ガツ</t>
    </rPh>
    <phoneticPr fontId="1"/>
  </si>
  <si>
    <t>11月</t>
    <rPh sb="2" eb="3">
      <t>ガツ</t>
    </rPh>
    <phoneticPr fontId="1"/>
  </si>
  <si>
    <t>12月</t>
    <rPh sb="2" eb="3">
      <t>ガツ</t>
    </rPh>
    <phoneticPr fontId="1"/>
  </si>
  <si>
    <t>月別依頼件数</t>
    <rPh sb="0" eb="2">
      <t>ツキベツ</t>
    </rPh>
    <rPh sb="2" eb="4">
      <t>イライ</t>
    </rPh>
    <rPh sb="4" eb="6">
      <t>ケンスウ</t>
    </rPh>
    <phoneticPr fontId="1"/>
  </si>
  <si>
    <t>月</t>
    <rPh sb="0" eb="1">
      <t>ツキ</t>
    </rPh>
    <phoneticPr fontId="1"/>
  </si>
  <si>
    <t>未介入理由分類</t>
    <rPh sb="0" eb="5">
      <t>ミカイニュウリユウ</t>
    </rPh>
    <rPh sb="5" eb="7">
      <t>ブンルイ</t>
    </rPh>
    <phoneticPr fontId="1"/>
  </si>
  <si>
    <t>入院・他施設への入居・ご逝去（不可抗力）</t>
    <rPh sb="0" eb="2">
      <t>ニュウイン</t>
    </rPh>
    <rPh sb="3" eb="4">
      <t>タ</t>
    </rPh>
    <rPh sb="4" eb="6">
      <t>シセツ</t>
    </rPh>
    <rPh sb="8" eb="10">
      <t>ニュウキョ</t>
    </rPh>
    <rPh sb="12" eb="14">
      <t>セイキョ</t>
    </rPh>
    <rPh sb="15" eb="19">
      <t>フカコウリョク</t>
    </rPh>
    <phoneticPr fontId="1"/>
  </si>
  <si>
    <t>その他</t>
    <rPh sb="2" eb="3">
      <t>タ</t>
    </rPh>
    <phoneticPr fontId="1"/>
  </si>
  <si>
    <t>指示書を出してもらえず</t>
    <rPh sb="0" eb="3">
      <t>シジショ</t>
    </rPh>
    <rPh sb="4" eb="5">
      <t>ダ</t>
    </rPh>
    <phoneticPr fontId="1"/>
  </si>
  <si>
    <t>介入理由が無い、なくなった（症状改善等）</t>
    <rPh sb="0" eb="2">
      <t>カイニュウ</t>
    </rPh>
    <rPh sb="2" eb="4">
      <t>リユウ</t>
    </rPh>
    <rPh sb="5" eb="6">
      <t>ナ</t>
    </rPh>
    <rPh sb="14" eb="19">
      <t>ショウジョウカイゼントウ</t>
    </rPh>
    <phoneticPr fontId="1"/>
  </si>
  <si>
    <t>介入に嫌悪・不安感（心理的ハードル）</t>
    <rPh sb="0" eb="2">
      <t>カイニュウ</t>
    </rPh>
    <rPh sb="3" eb="5">
      <t>ケンオ</t>
    </rPh>
    <rPh sb="6" eb="9">
      <t>フアンカン</t>
    </rPh>
    <rPh sb="10" eb="12">
      <t>シンリ</t>
    </rPh>
    <rPh sb="12" eb="13">
      <t>テキ</t>
    </rPh>
    <phoneticPr fontId="1"/>
  </si>
  <si>
    <t>該当数</t>
    <rPh sb="0" eb="3">
      <t>ガイトウスウ</t>
    </rPh>
    <phoneticPr fontId="1"/>
  </si>
  <si>
    <t>〇</t>
    <phoneticPr fontId="1"/>
  </si>
  <si>
    <t>総介入率</t>
    <rPh sb="0" eb="4">
      <t>ソウカイニュウリツ</t>
    </rPh>
    <phoneticPr fontId="1"/>
  </si>
  <si>
    <t>介入不可の理由別率　※介入不可内での割合分布</t>
    <rPh sb="0" eb="4">
      <t>カイニュウフカ</t>
    </rPh>
    <rPh sb="5" eb="9">
      <t>リユウベツリツ</t>
    </rPh>
    <rPh sb="11" eb="15">
      <t>カイニュウフカ</t>
    </rPh>
    <rPh sb="15" eb="16">
      <t>ナイ</t>
    </rPh>
    <rPh sb="18" eb="22">
      <t>ワリアイブンプ</t>
    </rPh>
    <phoneticPr fontId="1"/>
  </si>
  <si>
    <t>ご利用者様の保険種別</t>
  </si>
  <si>
    <t>医・介</t>
    <rPh sb="0" eb="1">
      <t>イ</t>
    </rPh>
    <rPh sb="2" eb="3">
      <t>カイ</t>
    </rPh>
    <phoneticPr fontId="1"/>
  </si>
  <si>
    <t>総依頼件数</t>
    <rPh sb="0" eb="1">
      <t>ソウ</t>
    </rPh>
    <rPh sb="1" eb="5">
      <t>イライケンスウ</t>
    </rPh>
    <phoneticPr fontId="1"/>
  </si>
  <si>
    <t>介入不可理由</t>
    <rPh sb="0" eb="2">
      <t>カイニュウ</t>
    </rPh>
    <rPh sb="2" eb="4">
      <t>フカ</t>
    </rPh>
    <rPh sb="4" eb="6">
      <t>リユウ</t>
    </rPh>
    <phoneticPr fontId="1"/>
  </si>
  <si>
    <t>総介入不可件数</t>
    <rPh sb="0" eb="1">
      <t>ソウ</t>
    </rPh>
    <rPh sb="1" eb="3">
      <t>カイニュウ</t>
    </rPh>
    <rPh sb="3" eb="5">
      <t>フカ</t>
    </rPh>
    <rPh sb="5" eb="7">
      <t>ケンスウ</t>
    </rPh>
    <phoneticPr fontId="1"/>
  </si>
  <si>
    <t>総介入不可率</t>
    <rPh sb="0" eb="1">
      <t>ソウ</t>
    </rPh>
    <rPh sb="1" eb="3">
      <t>カイニュウ</t>
    </rPh>
    <rPh sb="3" eb="5">
      <t>フカ</t>
    </rPh>
    <rPh sb="5" eb="6">
      <t>リツ</t>
    </rPh>
    <phoneticPr fontId="1"/>
  </si>
  <si>
    <t>月別介入不可率</t>
    <rPh sb="0" eb="2">
      <t>ツキベツ</t>
    </rPh>
    <rPh sb="2" eb="4">
      <t>カイニュウ</t>
    </rPh>
    <rPh sb="4" eb="6">
      <t>フカ</t>
    </rPh>
    <rPh sb="6" eb="7">
      <t>リツ</t>
    </rPh>
    <phoneticPr fontId="1"/>
  </si>
  <si>
    <t>月別介入不可件数</t>
    <rPh sb="2" eb="4">
      <t>カイニュウ</t>
    </rPh>
    <rPh sb="4" eb="6">
      <t>フカ</t>
    </rPh>
    <rPh sb="6" eb="8">
      <t>ケンスウ</t>
    </rPh>
    <phoneticPr fontId="1"/>
  </si>
  <si>
    <t>総依頼数内での比率</t>
    <rPh sb="0" eb="3">
      <t>ソウイライ</t>
    </rPh>
    <rPh sb="3" eb="4">
      <t>スウ</t>
    </rPh>
    <rPh sb="4" eb="5">
      <t>ナイ</t>
    </rPh>
    <rPh sb="7" eb="9">
      <t>ヒリツ</t>
    </rPh>
    <phoneticPr fontId="1"/>
  </si>
  <si>
    <t>1.ALLのシートのA～Hまでを入力or選択します。(不明な項目は未入力で構いません）</t>
    <rPh sb="16" eb="18">
      <t>ニュウリョク</t>
    </rPh>
    <rPh sb="20" eb="22">
      <t>センタク</t>
    </rPh>
    <rPh sb="27" eb="29">
      <t>フメイ</t>
    </rPh>
    <rPh sb="30" eb="32">
      <t>コウモク</t>
    </rPh>
    <rPh sb="33" eb="36">
      <t>ミニュウリョク</t>
    </rPh>
    <rPh sb="37" eb="38">
      <t>カマ</t>
    </rPh>
    <phoneticPr fontId="1"/>
  </si>
  <si>
    <t>※注意点</t>
    <rPh sb="1" eb="4">
      <t>チュウイテン</t>
    </rPh>
    <phoneticPr fontId="1"/>
  </si>
  <si>
    <t>・同じ事業所の名称は統一して下さい。（例えば「いしが在宅」と「いしが在宅ケアクリニック」等、略称と正式名称が混在するのは×）</t>
    <rPh sb="1" eb="2">
      <t>オナ</t>
    </rPh>
    <rPh sb="3" eb="6">
      <t>ジギョウショ</t>
    </rPh>
    <rPh sb="7" eb="9">
      <t>メイショウ</t>
    </rPh>
    <rPh sb="10" eb="12">
      <t>トウイツ</t>
    </rPh>
    <rPh sb="14" eb="15">
      <t>クダ</t>
    </rPh>
    <rPh sb="19" eb="20">
      <t>タト</t>
    </rPh>
    <rPh sb="26" eb="28">
      <t>ザイタク</t>
    </rPh>
    <rPh sb="34" eb="36">
      <t>ザイタク</t>
    </rPh>
    <rPh sb="44" eb="45">
      <t>ナド</t>
    </rPh>
    <rPh sb="46" eb="48">
      <t>リャクショウ</t>
    </rPh>
    <rPh sb="49" eb="51">
      <t>セイシキ</t>
    </rPh>
    <rPh sb="51" eb="53">
      <t>メイショウ</t>
    </rPh>
    <rPh sb="54" eb="56">
      <t>コンザイ</t>
    </rPh>
    <phoneticPr fontId="1"/>
  </si>
  <si>
    <t>・事業所別のシートに転記済みの依頼の行を、ALLのシートで改変（各項目の変更等）し、再度上記の操作をした場合、改変後のデータは転記されません。
　※事業所別のシートに転記されるのはまだ転記されていない依頼のみです。</t>
    <rPh sb="15" eb="17">
      <t>イライ</t>
    </rPh>
    <rPh sb="18" eb="19">
      <t>ギョウ</t>
    </rPh>
    <rPh sb="29" eb="31">
      <t>カイヘン</t>
    </rPh>
    <rPh sb="32" eb="35">
      <t>カクコウモク</t>
    </rPh>
    <rPh sb="36" eb="38">
      <t>ヘンコウ</t>
    </rPh>
    <rPh sb="38" eb="39">
      <t>トウ</t>
    </rPh>
    <rPh sb="42" eb="44">
      <t>サイド</t>
    </rPh>
    <rPh sb="44" eb="46">
      <t>ジョウキ</t>
    </rPh>
    <rPh sb="47" eb="49">
      <t>ソウサ</t>
    </rPh>
    <rPh sb="52" eb="54">
      <t>バアイ</t>
    </rPh>
    <rPh sb="55" eb="58">
      <t>カイヘンゴ</t>
    </rPh>
    <rPh sb="63" eb="65">
      <t>テンキ</t>
    </rPh>
    <rPh sb="83" eb="85">
      <t>テンキ</t>
    </rPh>
    <rPh sb="92" eb="94">
      <t>テンキ</t>
    </rPh>
    <rPh sb="100" eb="102">
      <t>イライ</t>
    </rPh>
    <phoneticPr fontId="1"/>
  </si>
  <si>
    <t>△</t>
    <phoneticPr fontId="1"/>
  </si>
  <si>
    <t>・原本のシートは触らないで下さい。</t>
    <rPh sb="1" eb="3">
      <t>ゲンポン</t>
    </rPh>
    <rPh sb="8" eb="9">
      <t>サワ</t>
    </rPh>
    <rPh sb="13" eb="14">
      <t>クダ</t>
    </rPh>
    <phoneticPr fontId="1"/>
  </si>
  <si>
    <t>2.ALLのシートのどこかでダブルクリックすると「はい・いいえ」のポップアップが出ます。「はい」を選択すると事業所別のシートが生成されます。
　また、既にその事業所のシートがある場合は新しい依頼だけがそのシートに転記されます。</t>
    <rPh sb="40" eb="41">
      <t>デ</t>
    </rPh>
    <rPh sb="49" eb="51">
      <t>センタク</t>
    </rPh>
    <rPh sb="54" eb="58">
      <t>ジギョウショベツ</t>
    </rPh>
    <rPh sb="63" eb="65">
      <t>セイセイ</t>
    </rPh>
    <rPh sb="75" eb="76">
      <t>スデ</t>
    </rPh>
    <rPh sb="79" eb="82">
      <t>ジギョウショ</t>
    </rPh>
    <rPh sb="89" eb="91">
      <t>バアイ</t>
    </rPh>
    <rPh sb="92" eb="93">
      <t>アタラ</t>
    </rPh>
    <rPh sb="95" eb="97">
      <t>イライ</t>
    </rPh>
    <rPh sb="106" eb="108">
      <t>テンキ</t>
    </rPh>
    <phoneticPr fontId="1"/>
  </si>
  <si>
    <t>×</t>
  </si>
  <si>
    <t>〇</t>
  </si>
  <si>
    <t>新規依頼に対する介入不可率　仕様書</t>
    <rPh sb="0" eb="2">
      <t>シンキ</t>
    </rPh>
    <rPh sb="2" eb="4">
      <t>イライ</t>
    </rPh>
    <rPh sb="5" eb="6">
      <t>タイ</t>
    </rPh>
    <rPh sb="8" eb="10">
      <t>カイニュウ</t>
    </rPh>
    <rPh sb="10" eb="12">
      <t>フカ</t>
    </rPh>
    <rPh sb="12" eb="13">
      <t>リツ</t>
    </rPh>
    <rPh sb="14" eb="17">
      <t>シヨウショ</t>
    </rPh>
    <phoneticPr fontId="1"/>
  </si>
  <si>
    <t>介入不可内での比率</t>
    <rPh sb="2" eb="4">
      <t>フカ</t>
    </rPh>
    <phoneticPr fontId="1"/>
  </si>
  <si>
    <t>介入不可</t>
    <rPh sb="0" eb="2">
      <t>カイニュウ</t>
    </rPh>
    <rPh sb="2" eb="4">
      <t>フカ</t>
    </rPh>
    <phoneticPr fontId="1"/>
  </si>
  <si>
    <t>介入保留中</t>
    <rPh sb="0" eb="5">
      <t>カイニュウホリュウチュウ</t>
    </rPh>
    <phoneticPr fontId="1"/>
  </si>
  <si>
    <t>介入可　　　</t>
    <rPh sb="0" eb="2">
      <t>カイニュウ</t>
    </rPh>
    <rPh sb="2" eb="3">
      <t>カ</t>
    </rPh>
    <phoneticPr fontId="1"/>
  </si>
  <si>
    <t>介入可否 ※1</t>
    <rPh sb="0" eb="2">
      <t>カイニュウ</t>
    </rPh>
    <rPh sb="2" eb="4">
      <t>カヒ</t>
    </rPh>
    <phoneticPr fontId="1"/>
  </si>
  <si>
    <t>※1 介入可否欄の選択肢の説明</t>
    <phoneticPr fontId="1"/>
  </si>
  <si>
    <t>※1 介入可否欄の選択肢の説明</t>
    <rPh sb="3" eb="5">
      <t>カイニュウ</t>
    </rPh>
    <rPh sb="5" eb="7">
      <t>カヒ</t>
    </rPh>
    <rPh sb="7" eb="8">
      <t>ラン</t>
    </rPh>
    <rPh sb="9" eb="12">
      <t>センタクシ</t>
    </rPh>
    <rPh sb="13" eb="15">
      <t>セツメイ</t>
    </rPh>
    <phoneticPr fontId="1"/>
  </si>
  <si>
    <t>施設名</t>
    <rPh sb="0" eb="3">
      <t>シセツメイ</t>
    </rPh>
    <phoneticPr fontId="1"/>
  </si>
  <si>
    <t>依頼数</t>
    <rPh sb="0" eb="3">
      <t>イライスウ</t>
    </rPh>
    <phoneticPr fontId="1"/>
  </si>
  <si>
    <t>介入不可数</t>
    <rPh sb="4" eb="5">
      <t>スウ</t>
    </rPh>
    <phoneticPr fontId="1"/>
  </si>
  <si>
    <t>介入不可率</t>
    <phoneticPr fontId="1"/>
  </si>
  <si>
    <t>施設別依頼数・介入不可率</t>
    <rPh sb="0" eb="3">
      <t>シセツベツ</t>
    </rPh>
    <rPh sb="3" eb="6">
      <t>イライスウ</t>
    </rPh>
    <rPh sb="7" eb="12">
      <t>カイニュウフカリツ</t>
    </rPh>
    <phoneticPr fontId="1"/>
  </si>
  <si>
    <t>保険別依頼件数</t>
    <rPh sb="0" eb="3">
      <t>ホケンベツ</t>
    </rPh>
    <rPh sb="3" eb="7">
      <t>イライケンスウ</t>
    </rPh>
    <phoneticPr fontId="1"/>
  </si>
  <si>
    <t>△</t>
  </si>
  <si>
    <t>あ山 え男様</t>
  </si>
  <si>
    <t>く田 ぬ介CM</t>
  </si>
  <si>
    <t>そ川 う斗NS</t>
  </si>
  <si>
    <t>み森 け真様</t>
  </si>
  <si>
    <t>ら原 す郎NS</t>
  </si>
  <si>
    <t>ぬ林 も大様</t>
  </si>
  <si>
    <t>け野 ひ臣CM</t>
  </si>
  <si>
    <t>ち坂 る希CM</t>
  </si>
  <si>
    <t>り松 ね馬CM</t>
  </si>
  <si>
    <t>も谷 せ修Dr</t>
  </si>
  <si>
    <t>ひ山 う也様</t>
  </si>
  <si>
    <t>す川 き誠CM</t>
  </si>
  <si>
    <t>な沢 み翔CM</t>
  </si>
  <si>
    <t>う森 つ慎CM</t>
  </si>
  <si>
    <t>よ橋 ほ雅様</t>
  </si>
  <si>
    <t>へ野 ら心CM</t>
  </si>
  <si>
    <t>か山 え斗Dr</t>
  </si>
  <si>
    <t>と村 し史様</t>
  </si>
  <si>
    <t>ば田 ふ誠CM</t>
  </si>
  <si>
    <t>め木 せ陽Dr</t>
  </si>
  <si>
    <t>る川 さ斗様</t>
  </si>
  <si>
    <t>も田 る優CM</t>
  </si>
  <si>
    <t>み谷 ぬ斗Dr</t>
  </si>
  <si>
    <t>れ島 し真CM</t>
  </si>
  <si>
    <t>た川 こ也様</t>
  </si>
  <si>
    <t>ち林 み隼CM</t>
  </si>
  <si>
    <t>の森 へ介様</t>
  </si>
  <si>
    <t>さ坂 ぬ志CM</t>
  </si>
  <si>
    <t>え川 う悟NS</t>
  </si>
  <si>
    <t>ろ原 け斗Dr</t>
  </si>
  <si>
    <t>ぬ田 ま久CM</t>
  </si>
  <si>
    <t>わ野 り士様</t>
  </si>
  <si>
    <t>そ山 え翔CM</t>
  </si>
  <si>
    <t>れ松 き介様</t>
  </si>
  <si>
    <t>す井 ぬ臣CM</t>
  </si>
  <si>
    <t>つ木 み真Dr</t>
  </si>
  <si>
    <t>は林 せ平様</t>
  </si>
  <si>
    <t>よ水 ね織CM</t>
  </si>
  <si>
    <t>う崎 そ太NS</t>
  </si>
  <si>
    <t>め野 ぬ一様</t>
  </si>
  <si>
    <t>は藤 そ大様</t>
  </si>
  <si>
    <t>ほ谷 へ斗SW</t>
  </si>
  <si>
    <t>け島 み斗NS</t>
  </si>
  <si>
    <t>あ藤 け也様</t>
  </si>
  <si>
    <t>す沢 つ士様</t>
  </si>
  <si>
    <t>わ松 ぬ心CM</t>
  </si>
  <si>
    <t>ね藤 る也様</t>
  </si>
  <si>
    <t>れ田 み章CM</t>
  </si>
  <si>
    <t>そ口 せ人CM</t>
  </si>
  <si>
    <t>と垣 ほ志CM</t>
  </si>
  <si>
    <t>る城 み斗CM</t>
  </si>
  <si>
    <t>ま西 る介様</t>
  </si>
  <si>
    <t>ね村 し誠CM</t>
  </si>
  <si>
    <t>ふ木 り優様</t>
  </si>
  <si>
    <t>え川 た士様</t>
  </si>
  <si>
    <t>わ沢 う修Dr</t>
  </si>
  <si>
    <t>け田 そ悟CM</t>
  </si>
  <si>
    <t>り室 ね成CM</t>
  </si>
  <si>
    <t>ふ川 つ樹様</t>
  </si>
  <si>
    <t>み野 す雅Dr</t>
  </si>
  <si>
    <t>そ林 え臣CM</t>
  </si>
  <si>
    <t>う岩 い真CM</t>
  </si>
  <si>
    <t>を谷 ぬ真CM</t>
  </si>
  <si>
    <t>ひ森 そ斗様</t>
  </si>
  <si>
    <t>ぬ条 けNS</t>
  </si>
  <si>
    <t>は尾 き慎CM</t>
  </si>
  <si>
    <t>か達 す翔CM</t>
  </si>
  <si>
    <t>た宝 う斗Dr</t>
  </si>
  <si>
    <t>の口 け志CM</t>
  </si>
  <si>
    <t>い比 そ吾CM</t>
  </si>
  <si>
    <t>む科 ち真CM</t>
  </si>
  <si>
    <t>め渕 ふ花様</t>
  </si>
  <si>
    <t>を流 う翼CM</t>
  </si>
  <si>
    <t>き見 み治Dr</t>
  </si>
  <si>
    <t>れ坂 そ悟CM</t>
  </si>
  <si>
    <t>の見 う真NS</t>
  </si>
  <si>
    <t>へ野 そ真CM</t>
  </si>
  <si>
    <t>み子 え大Dr</t>
  </si>
  <si>
    <t>け出 い心様</t>
  </si>
  <si>
    <t>Q田 R斗</t>
  </si>
  <si>
    <t>A森 K也</t>
  </si>
  <si>
    <t>Z川 Y樹</t>
  </si>
  <si>
    <t>K崎 H太</t>
  </si>
  <si>
    <t>B峰 D斗</t>
  </si>
  <si>
    <t>M林 A介</t>
  </si>
  <si>
    <t>L田 P太</t>
  </si>
  <si>
    <t>S坂 V斗</t>
  </si>
  <si>
    <t>G田 C</t>
  </si>
  <si>
    <t>N森 Z太</t>
  </si>
  <si>
    <t>D山 E太</t>
  </si>
  <si>
    <t>X田 H斗</t>
  </si>
  <si>
    <t>P木 M</t>
  </si>
  <si>
    <t>H森 Y</t>
  </si>
  <si>
    <t>W川 K郎</t>
  </si>
  <si>
    <t>E谷 J海</t>
  </si>
  <si>
    <t>Y田 T介</t>
  </si>
  <si>
    <t>R藤 S太</t>
  </si>
  <si>
    <t>U田 F人</t>
  </si>
  <si>
    <t>T林 N</t>
  </si>
  <si>
    <t>C木 X介</t>
  </si>
  <si>
    <t>J田 D太</t>
  </si>
  <si>
    <t>F谷 B人</t>
  </si>
  <si>
    <t>O林 R太</t>
  </si>
  <si>
    <t>V杉 Q</t>
  </si>
  <si>
    <t>I川 G</t>
  </si>
  <si>
    <t>K田 Z太</t>
  </si>
  <si>
    <t>M崎 B介</t>
  </si>
  <si>
    <t>S田 P介</t>
  </si>
  <si>
    <t>G藤 C太</t>
  </si>
  <si>
    <t>Q川 L海</t>
  </si>
  <si>
    <t>A野 W斗</t>
  </si>
  <si>
    <t>Z田 K介</t>
  </si>
  <si>
    <t>B島 H史</t>
  </si>
  <si>
    <t>T森 Y太</t>
  </si>
  <si>
    <t>P井 F斗</t>
  </si>
  <si>
    <t>D杉 U介</t>
  </si>
  <si>
    <t>L藤 R介</t>
  </si>
  <si>
    <t>Y山 A介</t>
  </si>
  <si>
    <t>E口 J介</t>
  </si>
  <si>
    <t>X田 H樹</t>
  </si>
  <si>
    <t>H川 C樹</t>
  </si>
  <si>
    <t>C島 W太</t>
  </si>
  <si>
    <t>F谷 K介</t>
  </si>
  <si>
    <t>N田 Z樹</t>
  </si>
  <si>
    <t>O林 D海</t>
  </si>
  <si>
    <t>V島 S太</t>
  </si>
  <si>
    <t>I山 M介</t>
  </si>
  <si>
    <t>K田 T樹</t>
  </si>
  <si>
    <t>M島 R人</t>
  </si>
  <si>
    <t>S藤 A介</t>
  </si>
  <si>
    <t>G上 Y太</t>
  </si>
  <si>
    <t>Q林 W斗</t>
  </si>
  <si>
    <t>A杉 J也</t>
  </si>
  <si>
    <t>Z上 P郎</t>
  </si>
  <si>
    <t>B田 K斗</t>
  </si>
  <si>
    <t>T崎 R太</t>
  </si>
  <si>
    <t>P川 N太</t>
  </si>
  <si>
    <t>D田 F海</t>
  </si>
  <si>
    <t>L藤 V介</t>
  </si>
  <si>
    <t>Y上 Z斗</t>
  </si>
  <si>
    <t>E沢 S太</t>
  </si>
  <si>
    <t>X林 G介</t>
  </si>
  <si>
    <t>H藤 K介</t>
  </si>
  <si>
    <t>C島 Y斗</t>
  </si>
  <si>
    <t>F田 R海</t>
  </si>
  <si>
    <t>N田 D介</t>
  </si>
  <si>
    <t>O山 T太</t>
  </si>
  <si>
    <t>V上 M人</t>
  </si>
  <si>
    <t>I林 A太</t>
  </si>
  <si>
    <t>K森 P太</t>
  </si>
  <si>
    <t>M沢 Z也</t>
  </si>
  <si>
    <t>S田 E介</t>
  </si>
  <si>
    <t>G田 V斗</t>
  </si>
  <si>
    <t>Q林 C樹</t>
  </si>
  <si>
    <t>A川 B人</t>
  </si>
  <si>
    <t>Z田 K翔</t>
  </si>
  <si>
    <t>B島 D也</t>
  </si>
  <si>
    <t>T谷 F太</t>
  </si>
  <si>
    <t>入院・他施設への入居・ご逝去（不可抗力）</t>
  </si>
  <si>
    <t>不明</t>
  </si>
  <si>
    <t>介護</t>
  </si>
  <si>
    <t>介入に嫌悪・不安感（心理的ハードル）</t>
  </si>
  <si>
    <t>医療</t>
  </si>
  <si>
    <t>その他</t>
  </si>
  <si>
    <t>Aケアセンター</t>
  </si>
  <si>
    <t>Eケアプラン</t>
  </si>
  <si>
    <t>Fホームケア</t>
  </si>
  <si>
    <t>K地域支援センター</t>
  </si>
  <si>
    <t>L看護ケアセンター</t>
  </si>
  <si>
    <t>M総合ケアセンター</t>
  </si>
  <si>
    <t>N訪問サポート</t>
  </si>
  <si>
    <t>Pケアセンター</t>
  </si>
  <si>
    <t>Q訪問ケア</t>
  </si>
  <si>
    <t>Rウェルフェアセンター</t>
  </si>
  <si>
    <t>S医療センター</t>
  </si>
  <si>
    <t>Tライフサポート</t>
  </si>
  <si>
    <t>X地域支援センター</t>
  </si>
  <si>
    <t>Yケアセンター</t>
  </si>
  <si>
    <t>Z福祉サポート</t>
  </si>
  <si>
    <t>ADケアプラン</t>
  </si>
  <si>
    <t>AEホームケア</t>
  </si>
  <si>
    <t>AFウェルフェアセンター</t>
  </si>
  <si>
    <t>AK地域支援センター</t>
  </si>
  <si>
    <t>AL医療センター</t>
  </si>
  <si>
    <t>AM福祉サポート</t>
  </si>
  <si>
    <t>AN訪問サポート</t>
  </si>
  <si>
    <t>AT総合ケアセンター</t>
  </si>
  <si>
    <t>AU在宅ケアステーション</t>
  </si>
  <si>
    <t>AV福祉サポート</t>
  </si>
  <si>
    <t>BAケアプラン</t>
  </si>
  <si>
    <t>BBケアセンター</t>
  </si>
  <si>
    <t>BD地域支援センター</t>
  </si>
  <si>
    <t>BE総合ケアセンター</t>
  </si>
  <si>
    <t>BFホームケア</t>
  </si>
  <si>
    <t>BL在宅ケアステーション</t>
  </si>
  <si>
    <t>BM訪問ケア</t>
  </si>
  <si>
    <t>BNウェルフェアセンター</t>
  </si>
  <si>
    <t>BOケアプラン</t>
  </si>
  <si>
    <t>BUライフサポート</t>
  </si>
  <si>
    <t>BV福祉サポート</t>
  </si>
  <si>
    <t>BZ在宅ケアステーション</t>
  </si>
  <si>
    <t>Pケアセンター</t>
    <phoneticPr fontId="1"/>
  </si>
  <si>
    <t>Aケアセンター</t>
    <phoneticPr fontId="1"/>
  </si>
  <si>
    <t>Eケアプラン</t>
    <phoneticPr fontId="1"/>
  </si>
  <si>
    <t>Fホームケア</t>
    <phoneticPr fontId="1"/>
  </si>
  <si>
    <t>K地域支援センター</t>
    <phoneticPr fontId="1"/>
  </si>
  <si>
    <t>L看護ケアセンター</t>
    <phoneticPr fontId="1"/>
  </si>
  <si>
    <t>M総合ケアセンター</t>
    <phoneticPr fontId="1"/>
  </si>
  <si>
    <t>N訪問サポート</t>
    <phoneticPr fontId="1"/>
  </si>
  <si>
    <t>Q訪問ケア</t>
    <phoneticPr fontId="1"/>
  </si>
  <si>
    <t>Rウェルフェアセンター</t>
    <phoneticPr fontId="1"/>
  </si>
  <si>
    <t>S医療センター</t>
    <phoneticPr fontId="1"/>
  </si>
  <si>
    <t>Tライフサポート</t>
    <phoneticPr fontId="1"/>
  </si>
  <si>
    <t>X地域支援センター</t>
    <phoneticPr fontId="1"/>
  </si>
  <si>
    <t>Yケアセンター</t>
    <phoneticPr fontId="1"/>
  </si>
  <si>
    <t>Z福祉サポート</t>
    <phoneticPr fontId="1"/>
  </si>
  <si>
    <t>ADケアプラン</t>
    <phoneticPr fontId="1"/>
  </si>
  <si>
    <t>AEホームケア</t>
    <phoneticPr fontId="1"/>
  </si>
  <si>
    <t>AFウェルフェアセンター</t>
    <phoneticPr fontId="1"/>
  </si>
  <si>
    <t>AK地域支援センター</t>
    <phoneticPr fontId="1"/>
  </si>
  <si>
    <t>AL医療センター</t>
    <phoneticPr fontId="1"/>
  </si>
  <si>
    <t>AM福祉サポート</t>
    <phoneticPr fontId="1"/>
  </si>
  <si>
    <t>AN訪問サポート</t>
    <phoneticPr fontId="1"/>
  </si>
  <si>
    <t>AT総合ケアセンター</t>
    <phoneticPr fontId="1"/>
  </si>
  <si>
    <t>AU在宅ケアステーション</t>
    <phoneticPr fontId="1"/>
  </si>
  <si>
    <t>AV福祉サポート</t>
    <phoneticPr fontId="1"/>
  </si>
  <si>
    <t>BAケアプラン</t>
    <phoneticPr fontId="1"/>
  </si>
  <si>
    <t>BBケアセンター</t>
    <phoneticPr fontId="1"/>
  </si>
  <si>
    <t>BD地域支援センター</t>
    <phoneticPr fontId="1"/>
  </si>
  <si>
    <t>BE総合ケアセンター</t>
    <phoneticPr fontId="1"/>
  </si>
  <si>
    <t>BFホームケア</t>
    <phoneticPr fontId="1"/>
  </si>
  <si>
    <t>BL在宅ケアステーション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</si>
</sst>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111827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2" xfId="0" applyBorder="1">
      <alignment vertical="center"/>
    </xf>
    <xf numFmtId="0" fontId="0" fillId="0" borderId="18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10" borderId="16" xfId="0" applyFill="1" applyBorder="1">
      <alignment vertical="center"/>
    </xf>
    <xf numFmtId="0" fontId="0" fillId="10" borderId="17" xfId="0" applyFill="1" applyBorder="1">
      <alignment vertical="center"/>
    </xf>
    <xf numFmtId="0" fontId="0" fillId="10" borderId="7" xfId="0" applyFill="1" applyBorder="1">
      <alignment vertical="center"/>
    </xf>
    <xf numFmtId="0" fontId="0" fillId="9" borderId="26" xfId="0" applyFill="1" applyBorder="1">
      <alignment vertical="center"/>
    </xf>
    <xf numFmtId="0" fontId="2" fillId="9" borderId="27" xfId="0" applyFont="1" applyFill="1" applyBorder="1">
      <alignment vertical="center"/>
    </xf>
    <xf numFmtId="0" fontId="0" fillId="9" borderId="28" xfId="0" applyFill="1" applyBorder="1">
      <alignment vertical="center"/>
    </xf>
    <xf numFmtId="9" fontId="3" fillId="0" borderId="8" xfId="0" applyNumberFormat="1" applyFont="1" applyBorder="1">
      <alignment vertical="center"/>
    </xf>
    <xf numFmtId="9" fontId="0" fillId="0" borderId="18" xfId="0" applyNumberFormat="1" applyBorder="1">
      <alignment vertical="center"/>
    </xf>
    <xf numFmtId="0" fontId="0" fillId="12" borderId="6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8" xfId="0" applyFill="1" applyBorder="1">
      <alignment vertical="center"/>
    </xf>
    <xf numFmtId="9" fontId="0" fillId="0" borderId="29" xfId="0" applyNumberFormat="1" applyBorder="1">
      <alignment vertical="center"/>
    </xf>
    <xf numFmtId="0" fontId="0" fillId="8" borderId="30" xfId="0" applyFill="1" applyBorder="1">
      <alignment vertical="center"/>
    </xf>
    <xf numFmtId="0" fontId="0" fillId="0" borderId="31" xfId="0" applyBorder="1">
      <alignment vertical="center"/>
    </xf>
    <xf numFmtId="0" fontId="0" fillId="0" borderId="31" xfId="0" applyBorder="1" applyAlignment="1">
      <alignment vertical="center" wrapText="1"/>
    </xf>
    <xf numFmtId="0" fontId="4" fillId="0" borderId="31" xfId="0" applyFont="1" applyBorder="1">
      <alignment vertical="center"/>
    </xf>
    <xf numFmtId="0" fontId="0" fillId="0" borderId="32" xfId="0" applyBorder="1">
      <alignment vertical="center"/>
    </xf>
    <xf numFmtId="0" fontId="0" fillId="4" borderId="34" xfId="0" applyFill="1" applyBorder="1">
      <alignment vertical="center"/>
    </xf>
    <xf numFmtId="0" fontId="0" fillId="5" borderId="34" xfId="0" applyFill="1" applyBorder="1">
      <alignment vertical="center"/>
    </xf>
    <xf numFmtId="0" fontId="0" fillId="6" borderId="34" xfId="0" applyFill="1" applyBorder="1">
      <alignment vertical="center"/>
    </xf>
    <xf numFmtId="0" fontId="0" fillId="7" borderId="34" xfId="0" applyFill="1" applyBorder="1">
      <alignment vertical="center"/>
    </xf>
    <xf numFmtId="0" fontId="0" fillId="8" borderId="34" xfId="0" applyFill="1" applyBorder="1">
      <alignment vertical="center"/>
    </xf>
    <xf numFmtId="0" fontId="0" fillId="10" borderId="35" xfId="0" applyFill="1" applyBorder="1">
      <alignment vertical="center"/>
    </xf>
    <xf numFmtId="0" fontId="0" fillId="0" borderId="36" xfId="0" applyBorder="1">
      <alignment vertical="center"/>
    </xf>
    <xf numFmtId="0" fontId="0" fillId="11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2" borderId="33" xfId="0" applyFill="1" applyBorder="1">
      <alignment vertical="center"/>
    </xf>
    <xf numFmtId="0" fontId="0" fillId="3" borderId="37" xfId="0" applyFill="1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14" fontId="0" fillId="0" borderId="15" xfId="0" applyNumberFormat="1" applyBorder="1">
      <alignment vertical="center"/>
    </xf>
    <xf numFmtId="0" fontId="0" fillId="3" borderId="34" xfId="0" applyFill="1" applyBorder="1">
      <alignment vertical="center"/>
    </xf>
    <xf numFmtId="14" fontId="0" fillId="0" borderId="26" xfId="0" applyNumberFormat="1" applyBorder="1">
      <alignment vertical="center"/>
    </xf>
    <xf numFmtId="14" fontId="0" fillId="0" borderId="4" xfId="0" applyNumberFormat="1" applyBorder="1">
      <alignment vertical="center"/>
    </xf>
    <xf numFmtId="0" fontId="0" fillId="14" borderId="19" xfId="0" applyFill="1" applyBorder="1">
      <alignment vertical="center"/>
    </xf>
    <xf numFmtId="0" fontId="0" fillId="14" borderId="20" xfId="0" applyFill="1" applyBorder="1">
      <alignment vertical="center"/>
    </xf>
    <xf numFmtId="0" fontId="0" fillId="14" borderId="29" xfId="0" applyFill="1" applyBorder="1">
      <alignment vertical="center"/>
    </xf>
    <xf numFmtId="14" fontId="0" fillId="0" borderId="24" xfId="0" applyNumberFormat="1" applyBorder="1">
      <alignment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9" fontId="0" fillId="11" borderId="3" xfId="0" applyNumberFormat="1" applyFill="1" applyBorder="1">
      <alignment vertical="center"/>
    </xf>
    <xf numFmtId="9" fontId="0" fillId="11" borderId="18" xfId="0" applyNumberFormat="1" applyFill="1" applyBorder="1">
      <alignment vertical="center"/>
    </xf>
    <xf numFmtId="0" fontId="0" fillId="10" borderId="13" xfId="0" applyFill="1" applyBorder="1">
      <alignment vertical="center"/>
    </xf>
    <xf numFmtId="0" fontId="0" fillId="10" borderId="14" xfId="0" applyFill="1" applyBorder="1">
      <alignment vertical="center"/>
    </xf>
    <xf numFmtId="9" fontId="0" fillId="0" borderId="3" xfId="0" applyNumberFormat="1" applyBorder="1">
      <alignment vertical="center"/>
    </xf>
    <xf numFmtId="9" fontId="0" fillId="0" borderId="18" xfId="0" applyNumberFormat="1" applyBorder="1">
      <alignment vertical="center"/>
    </xf>
    <xf numFmtId="9" fontId="0" fillId="0" borderId="1" xfId="0" applyNumberFormat="1" applyBorder="1">
      <alignment vertical="center"/>
    </xf>
    <xf numFmtId="9" fontId="0" fillId="0" borderId="5" xfId="0" applyNumberFormat="1" applyBorder="1">
      <alignment vertical="center"/>
    </xf>
    <xf numFmtId="9" fontId="0" fillId="0" borderId="7" xfId="0" applyNumberFormat="1" applyBorder="1">
      <alignment vertical="center"/>
    </xf>
    <xf numFmtId="9" fontId="0" fillId="0" borderId="8" xfId="0" applyNumberFormat="1" applyBorder="1">
      <alignment vertical="center"/>
    </xf>
    <xf numFmtId="0" fontId="0" fillId="14" borderId="26" xfId="0" applyFill="1" applyBorder="1" applyAlignment="1">
      <alignment horizontal="center" vertical="center"/>
    </xf>
    <xf numFmtId="0" fontId="0" fillId="14" borderId="27" xfId="0" applyFill="1" applyBorder="1" applyAlignment="1">
      <alignment horizontal="center" vertical="center"/>
    </xf>
    <xf numFmtId="0" fontId="0" fillId="14" borderId="28" xfId="0" applyFill="1" applyBorder="1" applyAlignment="1">
      <alignment horizontal="center" vertical="center"/>
    </xf>
    <xf numFmtId="0" fontId="2" fillId="12" borderId="9" xfId="0" applyFont="1" applyFill="1" applyBorder="1" applyAlignment="1">
      <alignment horizontal="center" vertical="center"/>
    </xf>
    <xf numFmtId="0" fontId="5" fillId="12" borderId="10" xfId="0" applyFont="1" applyFill="1" applyBorder="1" applyAlignment="1">
      <alignment horizontal="center" vertical="center"/>
    </xf>
    <xf numFmtId="0" fontId="5" fillId="12" borderId="11" xfId="0" applyFont="1" applyFill="1" applyBorder="1" applyAlignment="1">
      <alignment horizontal="center" vertical="center"/>
    </xf>
    <xf numFmtId="9" fontId="0" fillId="11" borderId="20" xfId="0" applyNumberFormat="1" applyFill="1" applyBorder="1">
      <alignment vertical="center"/>
    </xf>
    <xf numFmtId="9" fontId="0" fillId="11" borderId="29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86658-903D-42FC-92C5-9174913B56B9}">
  <sheetPr codeName="Sheet1"/>
  <dimension ref="A1:A8"/>
  <sheetViews>
    <sheetView workbookViewId="0">
      <selection activeCell="C2" sqref="C2"/>
    </sheetView>
  </sheetViews>
  <sheetFormatPr defaultRowHeight="17.75" x14ac:dyDescent="0.5"/>
  <cols>
    <col min="1" max="1" width="128.453125" customWidth="1"/>
  </cols>
  <sheetData>
    <row r="1" spans="1:1" ht="18.3" thickBot="1" x14ac:dyDescent="0.55000000000000004">
      <c r="A1" s="43"/>
    </row>
    <row r="2" spans="1:1" x14ac:dyDescent="0.5">
      <c r="A2" s="32" t="s">
        <v>53</v>
      </c>
    </row>
    <row r="3" spans="1:1" x14ac:dyDescent="0.5">
      <c r="A3" s="33" t="s">
        <v>44</v>
      </c>
    </row>
    <row r="4" spans="1:1" ht="52.8" customHeight="1" x14ac:dyDescent="0.5">
      <c r="A4" s="34" t="s">
        <v>50</v>
      </c>
    </row>
    <row r="5" spans="1:1" x14ac:dyDescent="0.5">
      <c r="A5" s="35" t="s">
        <v>45</v>
      </c>
    </row>
    <row r="6" spans="1:1" ht="36" customHeight="1" x14ac:dyDescent="0.5">
      <c r="A6" s="34" t="s">
        <v>47</v>
      </c>
    </row>
    <row r="7" spans="1:1" x14ac:dyDescent="0.5">
      <c r="A7" s="33" t="s">
        <v>46</v>
      </c>
    </row>
    <row r="8" spans="1:1" ht="18.3" thickBot="1" x14ac:dyDescent="0.55000000000000004">
      <c r="A8" s="36" t="s">
        <v>49</v>
      </c>
    </row>
  </sheetData>
  <sheetProtection sheet="1" objects="1" scenarios="1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BC563-D891-416D-9274-C0F856883C0D}">
  <sheetPr codeName="Sheet3">
    <tabColor rgb="FFFFFF00"/>
  </sheetPr>
  <dimension ref="A1:R121"/>
  <sheetViews>
    <sheetView tabSelected="1" topLeftCell="D1" zoomScale="76" zoomScaleNormal="76" workbookViewId="0">
      <pane ySplit="1" topLeftCell="A2" activePane="bottomLeft" state="frozen"/>
      <selection pane="bottomLeft" activeCell="J147" sqref="J147"/>
    </sheetView>
  </sheetViews>
  <sheetFormatPr defaultRowHeight="17.75" x14ac:dyDescent="0.5"/>
  <cols>
    <col min="1" max="1" width="13.08984375" customWidth="1"/>
    <col min="2" max="2" width="30.6328125" customWidth="1"/>
    <col min="3" max="3" width="16.36328125" customWidth="1"/>
    <col min="4" max="4" width="19.453125" customWidth="1"/>
    <col min="5" max="5" width="11.08984375" customWidth="1"/>
    <col min="6" max="6" width="43.81640625" customWidth="1"/>
    <col min="7" max="7" width="48.26953125" customWidth="1"/>
    <col min="8" max="8" width="15.1796875" customWidth="1"/>
    <col min="10" max="10" width="23" customWidth="1"/>
    <col min="11" max="11" width="17.90625" customWidth="1"/>
    <col min="12" max="12" width="20.1796875" customWidth="1"/>
    <col min="13" max="13" width="12.26953125" customWidth="1"/>
    <col min="15" max="15" width="7.26953125" customWidth="1"/>
    <col min="16" max="16" width="6.7265625" customWidth="1"/>
    <col min="17" max="17" width="7.26953125" customWidth="1"/>
    <col min="18" max="18" width="13.08984375" customWidth="1"/>
  </cols>
  <sheetData>
    <row r="1" spans="1:18" ht="18.3" thickBot="1" x14ac:dyDescent="0.55000000000000004">
      <c r="A1" s="46" t="s">
        <v>0</v>
      </c>
      <c r="B1" s="47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7">
        <v>45301</v>
      </c>
      <c r="B2" s="3" t="s">
        <v>232</v>
      </c>
      <c r="C2" s="3" t="s">
        <v>68</v>
      </c>
      <c r="D2" s="3" t="s">
        <v>147</v>
      </c>
      <c r="E2" s="3" t="s">
        <v>51</v>
      </c>
      <c r="F2" s="3" t="s">
        <v>26</v>
      </c>
      <c r="G2" s="3"/>
      <c r="H2" s="13" t="s">
        <v>8</v>
      </c>
      <c r="J2" s="61" t="s">
        <v>33</v>
      </c>
      <c r="K2" s="62"/>
      <c r="L2" s="63"/>
    </row>
    <row r="3" spans="1:18" x14ac:dyDescent="0.5">
      <c r="A3" s="50">
        <v>45307</v>
      </c>
      <c r="B3" s="3" t="s">
        <v>232</v>
      </c>
      <c r="C3" s="1" t="s">
        <v>69</v>
      </c>
      <c r="D3" s="1" t="s">
        <v>148</v>
      </c>
      <c r="E3" s="1" t="s">
        <v>52</v>
      </c>
      <c r="F3" s="1"/>
      <c r="G3" s="3"/>
      <c r="H3" s="4" t="s">
        <v>7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0">
        <v>45310</v>
      </c>
      <c r="B4" s="3" t="s">
        <v>232</v>
      </c>
      <c r="C4" s="1" t="s">
        <v>70</v>
      </c>
      <c r="D4" s="1" t="s">
        <v>149</v>
      </c>
      <c r="E4" s="1" t="s">
        <v>51</v>
      </c>
      <c r="F4" s="1" t="s">
        <v>30</v>
      </c>
      <c r="G4" s="3"/>
      <c r="H4" s="4" t="s">
        <v>6</v>
      </c>
      <c r="J4" s="6">
        <f>COUNTA(A2:A120)</f>
        <v>79</v>
      </c>
      <c r="K4" s="7">
        <f>COUNTIF(E2:E120,"*×*")</f>
        <v>10</v>
      </c>
      <c r="L4" s="26">
        <f>IF(J4&lt;&gt;0, K4/J4, "-")</f>
        <v>0.12658227848101267</v>
      </c>
    </row>
    <row r="5" spans="1:18" ht="18.3" thickBot="1" x14ac:dyDescent="0.55000000000000004">
      <c r="A5" s="50">
        <v>45315</v>
      </c>
      <c r="B5" s="3" t="s">
        <v>232</v>
      </c>
      <c r="C5" s="1" t="s">
        <v>71</v>
      </c>
      <c r="D5" s="1" t="s">
        <v>150</v>
      </c>
      <c r="E5" s="1" t="s">
        <v>52</v>
      </c>
      <c r="F5" s="1"/>
      <c r="G5" s="3"/>
      <c r="H5" s="4" t="s">
        <v>6</v>
      </c>
    </row>
    <row r="6" spans="1:18" x14ac:dyDescent="0.5">
      <c r="A6" s="50">
        <v>45320</v>
      </c>
      <c r="B6" s="1" t="s">
        <v>233</v>
      </c>
      <c r="C6" s="1" t="s">
        <v>72</v>
      </c>
      <c r="D6" s="1" t="s">
        <v>151</v>
      </c>
      <c r="E6" s="1" t="s">
        <v>51</v>
      </c>
      <c r="F6" s="1" t="s">
        <v>26</v>
      </c>
      <c r="G6" s="3"/>
      <c r="H6" s="4" t="s">
        <v>6</v>
      </c>
      <c r="J6" s="58" t="s">
        <v>41</v>
      </c>
      <c r="K6" s="59"/>
      <c r="L6" s="59"/>
      <c r="M6" s="59"/>
      <c r="N6" s="60"/>
      <c r="P6" s="45" t="s">
        <v>60</v>
      </c>
      <c r="Q6" s="45"/>
      <c r="R6" s="45"/>
    </row>
    <row r="7" spans="1:18" ht="18.3" thickBot="1" x14ac:dyDescent="0.55000000000000004">
      <c r="A7" s="50">
        <v>45321</v>
      </c>
      <c r="B7" s="1" t="s">
        <v>234</v>
      </c>
      <c r="C7" s="1" t="s">
        <v>73</v>
      </c>
      <c r="D7" s="1" t="s">
        <v>152</v>
      </c>
      <c r="E7" s="1" t="s">
        <v>52</v>
      </c>
      <c r="F7" s="1"/>
      <c r="G7" s="3"/>
      <c r="H7" s="4" t="s">
        <v>7</v>
      </c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0">
        <v>45324</v>
      </c>
      <c r="B8" s="1" t="s">
        <v>234</v>
      </c>
      <c r="C8" s="1" t="s">
        <v>74</v>
      </c>
      <c r="D8" s="1" t="s">
        <v>153</v>
      </c>
      <c r="E8" s="1" t="s">
        <v>52</v>
      </c>
      <c r="F8" s="1"/>
      <c r="G8" s="3"/>
      <c r="H8" s="4" t="s">
        <v>7</v>
      </c>
      <c r="J8" s="12" t="s">
        <v>11</v>
      </c>
      <c r="K8" s="3">
        <f>COUNTIFS($A$1:$A$100,"&gt;=2024/1/1",$A$1:$A$100,"&lt;=2024/1/31")</f>
        <v>6</v>
      </c>
      <c r="L8" s="3">
        <f>COUNTIFS($A$1:$A$100,"&gt;=2024/1/1",$A$1:$A$100,"&lt;=2024/1/31",$E$1:$E$100,"×")</f>
        <v>3</v>
      </c>
      <c r="M8" s="71">
        <f>IFERROR(L8/K8, "-")</f>
        <v>0.5</v>
      </c>
      <c r="N8" s="72"/>
      <c r="P8" s="1" t="s">
        <v>9</v>
      </c>
      <c r="Q8" s="1" t="s">
        <v>55</v>
      </c>
      <c r="R8" s="1"/>
    </row>
    <row r="9" spans="1:18" x14ac:dyDescent="0.5">
      <c r="A9" s="50">
        <v>45342</v>
      </c>
      <c r="B9" s="1" t="s">
        <v>234</v>
      </c>
      <c r="C9" s="1" t="s">
        <v>75</v>
      </c>
      <c r="D9" s="1" t="s">
        <v>154</v>
      </c>
      <c r="E9" s="1" t="s">
        <v>52</v>
      </c>
      <c r="F9" s="1"/>
      <c r="G9" s="3"/>
      <c r="H9" s="4" t="s">
        <v>7</v>
      </c>
      <c r="J9" s="5" t="s">
        <v>12</v>
      </c>
      <c r="K9" s="3">
        <f>COUNTIFS($A$1:$A$100,"&gt;=2024/2/1",$A$1:$A$100,"&lt;=2024/2/29")</f>
        <v>3</v>
      </c>
      <c r="L9" s="1">
        <f>COUNTIFS($A$1:$A$100,"&gt;=2024/2/1",$A$1:$A$100,"&lt;=2024/2/28",$E$1:$E$100,"×")</f>
        <v>0</v>
      </c>
      <c r="M9" s="73">
        <f t="shared" ref="M9:M19" si="0">IFERROR(L9/K9, "-")</f>
        <v>0</v>
      </c>
      <c r="N9" s="74"/>
      <c r="P9" s="1" t="s">
        <v>48</v>
      </c>
      <c r="Q9" s="1" t="s">
        <v>56</v>
      </c>
      <c r="R9" s="1"/>
    </row>
    <row r="10" spans="1:18" x14ac:dyDescent="0.5">
      <c r="A10" s="50">
        <v>45349</v>
      </c>
      <c r="B10" s="1" t="s">
        <v>234</v>
      </c>
      <c r="C10" s="1" t="s">
        <v>76</v>
      </c>
      <c r="D10" s="1" t="s">
        <v>155</v>
      </c>
      <c r="E10" s="1" t="s">
        <v>52</v>
      </c>
      <c r="F10" s="1"/>
      <c r="G10" s="3"/>
      <c r="H10" s="4" t="s">
        <v>6</v>
      </c>
      <c r="J10" s="5" t="s">
        <v>13</v>
      </c>
      <c r="K10" s="3">
        <f>COUNTIFS($A$1:$A$100,"&gt;=2024/3/1",$A$1:$A$100,"&lt;=2024/3/31")</f>
        <v>7</v>
      </c>
      <c r="L10" s="1">
        <f>COUNTIFS($A$1:$A$100,"&gt;=2024/3/1",$A$1:$A$100,"&lt;=2024/3/31",$E$1:$E$100,"×")</f>
        <v>1</v>
      </c>
      <c r="M10" s="73">
        <f t="shared" si="0"/>
        <v>0.14285714285714285</v>
      </c>
      <c r="N10" s="74"/>
    </row>
    <row r="11" spans="1:18" x14ac:dyDescent="0.5">
      <c r="A11" s="50">
        <v>45352</v>
      </c>
      <c r="B11" s="1" t="s">
        <v>234</v>
      </c>
      <c r="C11" s="1" t="s">
        <v>77</v>
      </c>
      <c r="D11" s="1" t="s">
        <v>156</v>
      </c>
      <c r="E11" s="1" t="s">
        <v>52</v>
      </c>
      <c r="F11" s="1"/>
      <c r="G11" s="3"/>
      <c r="H11" s="4" t="s">
        <v>6</v>
      </c>
      <c r="J11" s="5" t="s">
        <v>14</v>
      </c>
      <c r="K11" s="3">
        <f>COUNTIFS($A$1:$A$100,"&gt;=2024/4/1",$A$1:$A$100,"&lt;=2024/4/30")</f>
        <v>10</v>
      </c>
      <c r="L11" s="1">
        <f>COUNTIFS($A$1:$A$100,"&gt;=2024/4/1",$A$1:$A$100,"&lt;=2024/4/30",$E$1:$E$100,"×")</f>
        <v>0</v>
      </c>
      <c r="M11" s="73">
        <f t="shared" si="0"/>
        <v>0</v>
      </c>
      <c r="N11" s="74"/>
    </row>
    <row r="12" spans="1:18" ht="16.8" customHeight="1" x14ac:dyDescent="0.5">
      <c r="A12" s="57">
        <v>45356</v>
      </c>
      <c r="B12" s="1" t="s">
        <v>235</v>
      </c>
      <c r="C12" s="1" t="s">
        <v>78</v>
      </c>
      <c r="D12" s="1" t="s">
        <v>157</v>
      </c>
      <c r="E12" s="1" t="s">
        <v>52</v>
      </c>
      <c r="F12" s="1"/>
      <c r="G12" s="3"/>
      <c r="H12" s="4" t="s">
        <v>6</v>
      </c>
      <c r="J12" s="5" t="s">
        <v>15</v>
      </c>
      <c r="K12" s="1">
        <f>COUNTIFS($A$1:$A$100,"&gt;=2024/5/1",$A$1:$A$100,"&lt;=2024/5/31")</f>
        <v>7</v>
      </c>
      <c r="L12" s="1">
        <f>COUNTIFS($A$1:$A$100,"&gt;=2024/5/1",$A$1:$A$100,"&lt;=2024/5/31",$E$1:$E$100,"×")</f>
        <v>2</v>
      </c>
      <c r="M12" s="73">
        <f t="shared" si="0"/>
        <v>0.2857142857142857</v>
      </c>
      <c r="N12" s="74"/>
    </row>
    <row r="13" spans="1:18" ht="17.5" customHeight="1" x14ac:dyDescent="0.5">
      <c r="A13" s="50">
        <v>45357</v>
      </c>
      <c r="B13" s="1" t="s">
        <v>236</v>
      </c>
      <c r="C13" s="1" t="s">
        <v>79</v>
      </c>
      <c r="D13" s="1" t="s">
        <v>158</v>
      </c>
      <c r="E13" s="1" t="s">
        <v>51</v>
      </c>
      <c r="F13" s="1" t="s">
        <v>27</v>
      </c>
      <c r="G13" s="3"/>
      <c r="H13" s="4" t="s">
        <v>7</v>
      </c>
      <c r="J13" s="5" t="s">
        <v>16</v>
      </c>
      <c r="K13" s="1">
        <f>COUNTIFS($A$1:$A$100,"&gt;=2024/6/1",$A$1:$A$100,"&lt;=2024/6/30")</f>
        <v>4</v>
      </c>
      <c r="L13" s="1">
        <f>COUNTIFS($A$1:$A$100,"&gt;=2024/6/1",$A$1:$A$100,"&lt;=2024/6/31",$E$1:$E$100,"×")</f>
        <v>0</v>
      </c>
      <c r="M13" s="73">
        <f t="shared" si="0"/>
        <v>0</v>
      </c>
      <c r="N13" s="74"/>
    </row>
    <row r="14" spans="1:18" x14ac:dyDescent="0.5">
      <c r="A14" s="50">
        <v>45360</v>
      </c>
      <c r="B14" s="1" t="s">
        <v>237</v>
      </c>
      <c r="C14" s="1" t="s">
        <v>80</v>
      </c>
      <c r="D14" s="1" t="s">
        <v>159</v>
      </c>
      <c r="E14" s="1" t="s">
        <v>52</v>
      </c>
      <c r="F14" s="1"/>
      <c r="G14" s="3"/>
      <c r="H14" s="4" t="s">
        <v>6</v>
      </c>
      <c r="J14" s="5" t="s">
        <v>17</v>
      </c>
      <c r="K14" s="1">
        <f>COUNTIFS($A$1:$A$100,"&gt;=2024/7/1",$A$1:$A$100,"&lt;=2024/7/31")</f>
        <v>10</v>
      </c>
      <c r="L14" s="1">
        <f>COUNTIFS($A$1:$A$100,"&gt;=2024/7/1",$A$1:$A$100,"&lt;=2024/7/31",$E$1:$E$100,"×")</f>
        <v>1</v>
      </c>
      <c r="M14" s="73">
        <f t="shared" si="0"/>
        <v>0.1</v>
      </c>
      <c r="N14" s="74"/>
    </row>
    <row r="15" spans="1:18" x14ac:dyDescent="0.5">
      <c r="A15" s="50">
        <v>45365</v>
      </c>
      <c r="B15" s="1" t="s">
        <v>238</v>
      </c>
      <c r="C15" s="1" t="s">
        <v>81</v>
      </c>
      <c r="D15" s="1" t="s">
        <v>160</v>
      </c>
      <c r="E15" s="1" t="s">
        <v>52</v>
      </c>
      <c r="F15" s="1"/>
      <c r="G15" s="3"/>
      <c r="H15" s="4" t="s">
        <v>7</v>
      </c>
      <c r="J15" s="5" t="s">
        <v>18</v>
      </c>
      <c r="K15" s="1">
        <f>COUNTIFS($A$1:$A$100,"&gt;=2024/8/1",$A$1:$A$100,"&lt;=2024/8/31")</f>
        <v>6</v>
      </c>
      <c r="L15" s="1">
        <f>COUNTIFS($A$1:$A$100,"&gt;=2024/8/1",$A$1:$A$100,"&lt;=2024/8/31",$E$1:$E$100,"×")</f>
        <v>1</v>
      </c>
      <c r="M15" s="73">
        <f t="shared" si="0"/>
        <v>0.16666666666666666</v>
      </c>
      <c r="N15" s="74"/>
    </row>
    <row r="16" spans="1:18" x14ac:dyDescent="0.5">
      <c r="A16" s="50">
        <v>45369</v>
      </c>
      <c r="B16" s="1" t="s">
        <v>238</v>
      </c>
      <c r="C16" s="1" t="s">
        <v>82</v>
      </c>
      <c r="D16" s="1" t="s">
        <v>161</v>
      </c>
      <c r="E16" s="1" t="s">
        <v>52</v>
      </c>
      <c r="F16" s="1"/>
      <c r="G16" s="3"/>
      <c r="H16" s="4" t="s">
        <v>6</v>
      </c>
      <c r="J16" s="5" t="s">
        <v>19</v>
      </c>
      <c r="K16" s="1">
        <f>COUNTIFS($A$1:$A$100,"&gt;=2024/9/1",$A$1:$A$100,"&lt;=2024/9/30")</f>
        <v>5</v>
      </c>
      <c r="L16" s="1">
        <f>COUNTIFS($A$1:$A$100,"&gt;=2024/9/1",$A$1:$A$100,"&lt;=2024/9/30",$E$1:$E$100,"×")</f>
        <v>1</v>
      </c>
      <c r="M16" s="73">
        <f t="shared" si="0"/>
        <v>0.2</v>
      </c>
      <c r="N16" s="74"/>
    </row>
    <row r="17" spans="1:14" x14ac:dyDescent="0.5">
      <c r="A17" s="50">
        <v>45373</v>
      </c>
      <c r="B17" s="1" t="s">
        <v>238</v>
      </c>
      <c r="C17" s="1" t="s">
        <v>83</v>
      </c>
      <c r="D17" s="1" t="s">
        <v>162</v>
      </c>
      <c r="E17" s="1" t="s">
        <v>52</v>
      </c>
      <c r="F17" s="1"/>
      <c r="G17" s="3"/>
      <c r="H17" s="4" t="s">
        <v>7</v>
      </c>
      <c r="J17" s="5" t="s">
        <v>20</v>
      </c>
      <c r="K17" s="1">
        <f>COUNTIFS($A$1:$A$100,"&gt;=2024/10/1",$A$1:$A$100,"&lt;=2024/10/31")</f>
        <v>8</v>
      </c>
      <c r="L17" s="1">
        <f>COUNTIFS($A$1:$A$100,"&gt;=2024/9/1",$A$1:$A$100,"&lt;=2024/9/30",$E$1:$E$100,"×")</f>
        <v>1</v>
      </c>
      <c r="M17" s="73">
        <f t="shared" si="0"/>
        <v>0.125</v>
      </c>
      <c r="N17" s="74"/>
    </row>
    <row r="18" spans="1:14" ht="16.8" customHeight="1" x14ac:dyDescent="0.5">
      <c r="A18" s="50">
        <v>45383</v>
      </c>
      <c r="B18" s="1" t="s">
        <v>240</v>
      </c>
      <c r="C18" s="1" t="s">
        <v>84</v>
      </c>
      <c r="D18" s="1" t="s">
        <v>163</v>
      </c>
      <c r="E18" s="1" t="s">
        <v>52</v>
      </c>
      <c r="F18" s="1"/>
      <c r="G18" s="3"/>
      <c r="H18" s="4" t="s">
        <v>7</v>
      </c>
      <c r="J18" s="5" t="s">
        <v>21</v>
      </c>
      <c r="K18" s="1">
        <f>COUNTIFS($A$1:$A$100,"&gt;=2024/11/1",$A$1:$A$100,"&lt;=2024/11/30")</f>
        <v>4</v>
      </c>
      <c r="L18" s="1">
        <f>COUNTIFS($A$1:$A$100,"&gt;=2024/11/1",$A$1:$A$100,"&lt;=2024/11/30",$E$1:$E$100,"×")</f>
        <v>1</v>
      </c>
      <c r="M18" s="73">
        <f t="shared" si="0"/>
        <v>0.25</v>
      </c>
      <c r="N18" s="74"/>
    </row>
    <row r="19" spans="1:14" ht="18.3" thickBot="1" x14ac:dyDescent="0.55000000000000004">
      <c r="A19" s="50">
        <v>45385</v>
      </c>
      <c r="B19" s="1" t="s">
        <v>241</v>
      </c>
      <c r="C19" s="1" t="s">
        <v>85</v>
      </c>
      <c r="D19" s="1" t="s">
        <v>164</v>
      </c>
      <c r="E19" s="1" t="s">
        <v>52</v>
      </c>
      <c r="F19" s="1"/>
      <c r="G19" s="3"/>
      <c r="H19" s="4" t="s">
        <v>6</v>
      </c>
      <c r="J19" s="6" t="s">
        <v>22</v>
      </c>
      <c r="K19" s="7">
        <f>COUNTIFS($A$1:$A$100,"&gt;=2024/12/1",$A$1:$A$100,"&lt;=2024/12/31")</f>
        <v>9</v>
      </c>
      <c r="L19" s="7">
        <f>COUNTIFS($A$1:$A$100,"&gt;=2024/12/1",$A$1:$A$100,"&lt;=2024/12/31",$E$1:$E$100,"×")</f>
        <v>0</v>
      </c>
      <c r="M19" s="75">
        <f t="shared" si="0"/>
        <v>0</v>
      </c>
      <c r="N19" s="76"/>
    </row>
    <row r="20" spans="1:14" ht="18" customHeight="1" thickBot="1" x14ac:dyDescent="0.55000000000000004">
      <c r="A20" s="50">
        <v>45387</v>
      </c>
      <c r="B20" s="1" t="s">
        <v>242</v>
      </c>
      <c r="C20" s="1" t="s">
        <v>86</v>
      </c>
      <c r="D20" s="1" t="s">
        <v>165</v>
      </c>
      <c r="E20" s="1" t="s">
        <v>52</v>
      </c>
      <c r="F20" s="1"/>
      <c r="G20" s="3"/>
      <c r="H20" s="4" t="s">
        <v>7</v>
      </c>
    </row>
    <row r="21" spans="1:14" ht="16.25" customHeight="1" x14ac:dyDescent="0.5">
      <c r="A21" s="50">
        <v>45394</v>
      </c>
      <c r="B21" s="1" t="s">
        <v>243</v>
      </c>
      <c r="C21" s="1" t="s">
        <v>87</v>
      </c>
      <c r="D21" s="1" t="s">
        <v>166</v>
      </c>
      <c r="E21" s="1" t="s">
        <v>52</v>
      </c>
      <c r="F21" s="1"/>
      <c r="G21" s="3"/>
      <c r="H21" s="4" t="s">
        <v>7</v>
      </c>
      <c r="J21" s="64" t="s">
        <v>34</v>
      </c>
      <c r="K21" s="65"/>
      <c r="L21" s="65"/>
      <c r="M21" s="65"/>
      <c r="N21" s="66"/>
    </row>
    <row r="22" spans="1:14" ht="17.5" customHeight="1" thickBot="1" x14ac:dyDescent="0.55000000000000004">
      <c r="A22" s="50">
        <v>45394</v>
      </c>
      <c r="B22" s="1" t="s">
        <v>243</v>
      </c>
      <c r="C22" s="1" t="s">
        <v>88</v>
      </c>
      <c r="D22" s="1" t="s">
        <v>167</v>
      </c>
      <c r="E22" s="1" t="s">
        <v>52</v>
      </c>
      <c r="F22" s="1"/>
      <c r="G22" s="3"/>
      <c r="H22" s="4" t="s">
        <v>7</v>
      </c>
      <c r="J22" s="20" t="s">
        <v>25</v>
      </c>
      <c r="K22" s="21"/>
      <c r="L22" s="22" t="s">
        <v>31</v>
      </c>
      <c r="M22" s="69" t="s">
        <v>54</v>
      </c>
      <c r="N22" s="70"/>
    </row>
    <row r="23" spans="1:14" ht="16.8" customHeight="1" x14ac:dyDescent="0.5">
      <c r="A23" s="50">
        <v>45394</v>
      </c>
      <c r="B23" s="1" t="s">
        <v>243</v>
      </c>
      <c r="C23" s="1" t="s">
        <v>89</v>
      </c>
      <c r="D23" s="1" t="s">
        <v>168</v>
      </c>
      <c r="E23" s="1" t="s">
        <v>52</v>
      </c>
      <c r="F23" s="1"/>
      <c r="G23" s="3"/>
      <c r="H23" s="4" t="s">
        <v>6</v>
      </c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50">
        <v>45397</v>
      </c>
      <c r="B24" s="1" t="s">
        <v>243</v>
      </c>
      <c r="C24" s="1" t="s">
        <v>90</v>
      </c>
      <c r="D24" s="1" t="s">
        <v>169</v>
      </c>
      <c r="E24" s="1" t="s">
        <v>52</v>
      </c>
      <c r="F24" s="1"/>
      <c r="G24" s="3"/>
      <c r="H24" s="4" t="s">
        <v>7</v>
      </c>
      <c r="J24" s="9" t="s">
        <v>30</v>
      </c>
      <c r="K24" s="2"/>
      <c r="L24" s="1">
        <f>COUNTIF(F:F, "介入に嫌悪・不安感（心理的ハードル）")</f>
        <v>1</v>
      </c>
      <c r="M24" s="67">
        <f t="shared" ref="M24:M27" si="1">IFERROR(L24/K$4, "-")</f>
        <v>0.1</v>
      </c>
      <c r="N24" s="68"/>
    </row>
    <row r="25" spans="1:14" x14ac:dyDescent="0.5">
      <c r="A25" s="50">
        <v>45404</v>
      </c>
      <c r="B25" s="1" t="s">
        <v>244</v>
      </c>
      <c r="C25" s="1" t="s">
        <v>91</v>
      </c>
      <c r="D25" s="1" t="s">
        <v>170</v>
      </c>
      <c r="E25" s="1" t="s">
        <v>52</v>
      </c>
      <c r="F25" s="1"/>
      <c r="G25" s="3"/>
      <c r="H25" s="4" t="s">
        <v>7</v>
      </c>
      <c r="J25" s="9" t="s">
        <v>26</v>
      </c>
      <c r="K25" s="2"/>
      <c r="L25" s="1">
        <f>COUNTIF(F:F, "入院・他施設への入居・ご逝去（不可抗力）")</f>
        <v>6</v>
      </c>
      <c r="M25" s="67">
        <f t="shared" si="1"/>
        <v>0.6</v>
      </c>
      <c r="N25" s="68"/>
    </row>
    <row r="26" spans="1:14" x14ac:dyDescent="0.5">
      <c r="A26" s="50">
        <v>45407</v>
      </c>
      <c r="B26" s="1" t="s">
        <v>245</v>
      </c>
      <c r="C26" s="1" t="s">
        <v>92</v>
      </c>
      <c r="D26" s="1" t="s">
        <v>171</v>
      </c>
      <c r="E26" s="1" t="s">
        <v>52</v>
      </c>
      <c r="F26" s="1"/>
      <c r="G26" s="3"/>
      <c r="H26" s="4" t="s">
        <v>7</v>
      </c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50">
        <v>45408</v>
      </c>
      <c r="B27" s="1" t="s">
        <v>246</v>
      </c>
      <c r="C27" s="1" t="s">
        <v>93</v>
      </c>
      <c r="D27" s="1" t="s">
        <v>172</v>
      </c>
      <c r="E27" s="1" t="s">
        <v>52</v>
      </c>
      <c r="F27" s="1"/>
      <c r="G27" s="3"/>
      <c r="H27" s="4" t="s">
        <v>6</v>
      </c>
      <c r="J27" s="10" t="s">
        <v>27</v>
      </c>
      <c r="K27" s="11"/>
      <c r="L27" s="7">
        <f>COUNTIF(F:F, "その他")</f>
        <v>2</v>
      </c>
      <c r="M27" s="83">
        <f t="shared" si="1"/>
        <v>0.2</v>
      </c>
      <c r="N27" s="84"/>
    </row>
    <row r="28" spans="1:14" ht="16.25" customHeight="1" thickBot="1" x14ac:dyDescent="0.55000000000000004">
      <c r="A28" s="50">
        <v>45422</v>
      </c>
      <c r="B28" s="1" t="s">
        <v>246</v>
      </c>
      <c r="C28" s="1" t="s">
        <v>94</v>
      </c>
      <c r="D28" s="1" t="s">
        <v>173</v>
      </c>
      <c r="E28" s="1" t="s">
        <v>51</v>
      </c>
      <c r="F28" s="1" t="s">
        <v>27</v>
      </c>
      <c r="G28" s="3"/>
      <c r="H28" s="4" t="s">
        <v>6</v>
      </c>
    </row>
    <row r="29" spans="1:14" ht="18" customHeight="1" x14ac:dyDescent="0.5">
      <c r="A29" s="50">
        <v>45425</v>
      </c>
      <c r="B29" s="1" t="s">
        <v>246</v>
      </c>
      <c r="C29" s="1" t="s">
        <v>95</v>
      </c>
      <c r="D29" s="1" t="s">
        <v>174</v>
      </c>
      <c r="E29" s="1" t="s">
        <v>52</v>
      </c>
      <c r="F29" s="1"/>
      <c r="G29" s="3"/>
      <c r="H29" s="4" t="s">
        <v>6</v>
      </c>
      <c r="J29" s="80" t="s">
        <v>66</v>
      </c>
      <c r="K29" s="81"/>
      <c r="L29" s="82"/>
    </row>
    <row r="30" spans="1:14" ht="19.25" customHeight="1" thickBot="1" x14ac:dyDescent="0.55000000000000004">
      <c r="A30" s="50">
        <v>45427</v>
      </c>
      <c r="B30" s="1" t="s">
        <v>246</v>
      </c>
      <c r="C30" s="1" t="s">
        <v>96</v>
      </c>
      <c r="D30" s="1" t="s">
        <v>175</v>
      </c>
      <c r="E30" s="1" t="s">
        <v>52</v>
      </c>
      <c r="F30" s="1"/>
      <c r="G30" s="3"/>
      <c r="H30" s="4" t="s">
        <v>6</v>
      </c>
      <c r="J30" s="28" t="s">
        <v>35</v>
      </c>
      <c r="K30" s="29" t="s">
        <v>31</v>
      </c>
      <c r="L30" s="30" t="s">
        <v>43</v>
      </c>
    </row>
    <row r="31" spans="1:14" ht="17.5" customHeight="1" x14ac:dyDescent="0.5">
      <c r="A31" s="50">
        <v>45432</v>
      </c>
      <c r="B31" s="1" t="s">
        <v>247</v>
      </c>
      <c r="C31" s="1" t="s">
        <v>97</v>
      </c>
      <c r="D31" s="1" t="s">
        <v>176</v>
      </c>
      <c r="E31" s="1" t="s">
        <v>52</v>
      </c>
      <c r="F31" s="1"/>
      <c r="G31" s="3"/>
      <c r="H31" s="4" t="s">
        <v>7</v>
      </c>
      <c r="J31" s="12" t="s">
        <v>6</v>
      </c>
      <c r="K31" s="3">
        <f>COUNTIF(H:H, "医療")</f>
        <v>38</v>
      </c>
      <c r="L31" s="27">
        <f>IFERROR(K31/J$4, "-")</f>
        <v>0.48101265822784811</v>
      </c>
    </row>
    <row r="32" spans="1:14" ht="18.55" customHeight="1" x14ac:dyDescent="0.5">
      <c r="A32" s="50">
        <v>45433</v>
      </c>
      <c r="B32" s="1" t="s">
        <v>248</v>
      </c>
      <c r="C32" s="1" t="s">
        <v>98</v>
      </c>
      <c r="D32" s="1" t="s">
        <v>177</v>
      </c>
      <c r="E32" s="1" t="s">
        <v>51</v>
      </c>
      <c r="F32" s="1" t="s">
        <v>26</v>
      </c>
      <c r="G32" s="3"/>
      <c r="H32" s="4" t="s">
        <v>6</v>
      </c>
      <c r="J32" s="5" t="s">
        <v>7</v>
      </c>
      <c r="K32" s="1">
        <f>COUNTIF(H:H, "介護")</f>
        <v>40</v>
      </c>
      <c r="L32" s="27">
        <f>IFERROR(K32/J$4, "-")</f>
        <v>0.50632911392405067</v>
      </c>
    </row>
    <row r="33" spans="1:13" ht="18.55" customHeight="1" x14ac:dyDescent="0.5">
      <c r="A33" s="50">
        <v>45434</v>
      </c>
      <c r="B33" s="1" t="s">
        <v>249</v>
      </c>
      <c r="C33" s="1" t="s">
        <v>99</v>
      </c>
      <c r="D33" s="1" t="s">
        <v>178</v>
      </c>
      <c r="E33" s="1" t="s">
        <v>52</v>
      </c>
      <c r="F33" s="1"/>
      <c r="G33" s="3"/>
      <c r="H33" s="4" t="s">
        <v>7</v>
      </c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3" x14ac:dyDescent="0.5">
      <c r="A34" s="50">
        <v>45440</v>
      </c>
      <c r="B34" s="1" t="s">
        <v>249</v>
      </c>
      <c r="C34" s="1" t="s">
        <v>100</v>
      </c>
      <c r="D34" s="1" t="s">
        <v>179</v>
      </c>
      <c r="E34" s="1" t="s">
        <v>52</v>
      </c>
      <c r="F34" s="1"/>
      <c r="G34" s="3"/>
      <c r="H34" s="4" t="s">
        <v>7</v>
      </c>
      <c r="J34" s="5" t="s">
        <v>8</v>
      </c>
      <c r="K34" s="1">
        <f>COUNTIF(H:H, "不明")</f>
        <v>1</v>
      </c>
      <c r="L34" s="27">
        <f>IFERROR(K34/J$4, "-")</f>
        <v>1.2658227848101266E-2</v>
      </c>
    </row>
    <row r="35" spans="1:13" ht="19.25" customHeight="1" thickBot="1" x14ac:dyDescent="0.55000000000000004">
      <c r="A35" s="50">
        <v>45448</v>
      </c>
      <c r="B35" s="1" t="s">
        <v>249</v>
      </c>
      <c r="C35" s="1" t="s">
        <v>101</v>
      </c>
      <c r="D35" s="1" t="s">
        <v>180</v>
      </c>
      <c r="E35" s="1" t="s">
        <v>52</v>
      </c>
      <c r="F35" s="1"/>
      <c r="G35" s="3"/>
      <c r="H35" s="4" t="s">
        <v>6</v>
      </c>
      <c r="J35" s="6" t="s">
        <v>10</v>
      </c>
      <c r="K35" s="7">
        <f>COUNTIF(H:H, "自費")</f>
        <v>0</v>
      </c>
      <c r="L35" s="31">
        <f>IFERROR(K35/J$4, "-")</f>
        <v>0</v>
      </c>
    </row>
    <row r="36" spans="1:13" ht="19.25" customHeight="1" thickBot="1" x14ac:dyDescent="0.55000000000000004">
      <c r="A36" s="50">
        <v>45457</v>
      </c>
      <c r="B36" s="1" t="s">
        <v>249</v>
      </c>
      <c r="C36" s="1" t="s">
        <v>102</v>
      </c>
      <c r="D36" s="1" t="s">
        <v>181</v>
      </c>
      <c r="E36" s="1" t="s">
        <v>52</v>
      </c>
      <c r="F36" s="1"/>
      <c r="G36" s="3"/>
      <c r="H36" s="4" t="s">
        <v>7</v>
      </c>
    </row>
    <row r="37" spans="1:13" ht="20.45" customHeight="1" x14ac:dyDescent="0.5">
      <c r="A37" s="50">
        <v>45467</v>
      </c>
      <c r="B37" s="1" t="s">
        <v>249</v>
      </c>
      <c r="C37" s="1" t="s">
        <v>103</v>
      </c>
      <c r="D37" s="1" t="s">
        <v>182</v>
      </c>
      <c r="E37" s="1" t="s">
        <v>52</v>
      </c>
      <c r="F37" s="1"/>
      <c r="G37" s="3"/>
      <c r="H37" s="4" t="s">
        <v>6</v>
      </c>
      <c r="J37" s="77" t="s">
        <v>65</v>
      </c>
      <c r="K37" s="78"/>
      <c r="L37" s="78"/>
      <c r="M37" s="79"/>
    </row>
    <row r="38" spans="1:13" ht="19.75" customHeight="1" thickBot="1" x14ac:dyDescent="0.55000000000000004">
      <c r="A38" s="50">
        <v>45467</v>
      </c>
      <c r="B38" s="1" t="s">
        <v>250</v>
      </c>
      <c r="C38" s="1" t="s">
        <v>104</v>
      </c>
      <c r="D38" s="1" t="s">
        <v>183</v>
      </c>
      <c r="E38" s="1" t="s">
        <v>52</v>
      </c>
      <c r="F38" s="1"/>
      <c r="G38" s="3"/>
      <c r="H38" s="4" t="s">
        <v>6</v>
      </c>
      <c r="J38" s="54" t="s">
        <v>61</v>
      </c>
      <c r="K38" s="55" t="s">
        <v>62</v>
      </c>
      <c r="L38" s="55" t="s">
        <v>63</v>
      </c>
      <c r="M38" s="56" t="s">
        <v>64</v>
      </c>
    </row>
    <row r="39" spans="1:13" ht="19.25" customHeight="1" x14ac:dyDescent="0.5">
      <c r="A39" s="50">
        <v>45474</v>
      </c>
      <c r="B39" s="1" t="s">
        <v>251</v>
      </c>
      <c r="C39" s="1" t="s">
        <v>105</v>
      </c>
      <c r="D39" s="1" t="s">
        <v>184</v>
      </c>
      <c r="E39" s="1" t="s">
        <v>52</v>
      </c>
      <c r="F39" s="1"/>
      <c r="G39" s="3"/>
      <c r="H39" s="4" t="s">
        <v>6</v>
      </c>
      <c r="J39" s="12" t="s">
        <v>270</v>
      </c>
      <c r="K39" s="3">
        <v>4</v>
      </c>
      <c r="L39" s="3">
        <v>2</v>
      </c>
      <c r="M39" s="27">
        <f>IFERROR(L39/K39, "")</f>
        <v>0.5</v>
      </c>
    </row>
    <row r="40" spans="1:13" ht="19.75" customHeight="1" x14ac:dyDescent="0.5">
      <c r="A40" s="50">
        <v>45482</v>
      </c>
      <c r="B40" s="1" t="s">
        <v>252</v>
      </c>
      <c r="C40" s="1" t="s">
        <v>106</v>
      </c>
      <c r="D40" s="1" t="s">
        <v>185</v>
      </c>
      <c r="E40" s="1" t="s">
        <v>52</v>
      </c>
      <c r="F40" s="1"/>
      <c r="G40" s="3"/>
      <c r="H40" s="4" t="s">
        <v>7</v>
      </c>
      <c r="J40" s="12" t="s">
        <v>271</v>
      </c>
      <c r="K40" s="1">
        <v>1</v>
      </c>
      <c r="L40" s="1">
        <v>1</v>
      </c>
      <c r="M40" s="27">
        <f t="shared" ref="M40:M103" si="2">IFERROR(L40/K40, "")</f>
        <v>1</v>
      </c>
    </row>
    <row r="41" spans="1:13" ht="19.75" customHeight="1" x14ac:dyDescent="0.5">
      <c r="A41" s="50">
        <v>45484</v>
      </c>
      <c r="B41" s="1" t="s">
        <v>253</v>
      </c>
      <c r="C41" s="1" t="s">
        <v>107</v>
      </c>
      <c r="D41" s="1" t="s">
        <v>186</v>
      </c>
      <c r="E41" s="1" t="s">
        <v>52</v>
      </c>
      <c r="F41" s="1"/>
      <c r="G41" s="3"/>
      <c r="H41" s="4" t="s">
        <v>7</v>
      </c>
      <c r="J41" s="12" t="s">
        <v>272</v>
      </c>
      <c r="K41" s="1">
        <v>5</v>
      </c>
      <c r="L41" s="1">
        <v>0</v>
      </c>
      <c r="M41" s="27">
        <f t="shared" si="2"/>
        <v>0</v>
      </c>
    </row>
    <row r="42" spans="1:13" x14ac:dyDescent="0.5">
      <c r="A42" s="50">
        <v>45485</v>
      </c>
      <c r="B42" s="1" t="s">
        <v>253</v>
      </c>
      <c r="C42" s="1" t="s">
        <v>108</v>
      </c>
      <c r="D42" s="1" t="s">
        <v>187</v>
      </c>
      <c r="E42" s="1" t="s">
        <v>52</v>
      </c>
      <c r="F42" s="1"/>
      <c r="G42" s="3"/>
      <c r="H42" s="4" t="s">
        <v>7</v>
      </c>
      <c r="J42" s="12" t="s">
        <v>273</v>
      </c>
      <c r="K42" s="1">
        <v>1</v>
      </c>
      <c r="L42" s="1">
        <v>0</v>
      </c>
      <c r="M42" s="27">
        <f t="shared" si="2"/>
        <v>0</v>
      </c>
    </row>
    <row r="43" spans="1:13" ht="20.45" customHeight="1" x14ac:dyDescent="0.5">
      <c r="A43" s="50">
        <v>45489</v>
      </c>
      <c r="B43" s="1" t="s">
        <v>253</v>
      </c>
      <c r="C43" s="1" t="s">
        <v>109</v>
      </c>
      <c r="D43" s="1" t="s">
        <v>188</v>
      </c>
      <c r="E43" s="1" t="s">
        <v>52</v>
      </c>
      <c r="F43" s="1"/>
      <c r="G43" s="3"/>
      <c r="H43" s="4" t="s">
        <v>6</v>
      </c>
      <c r="J43" s="12" t="s">
        <v>274</v>
      </c>
      <c r="K43" s="1">
        <v>1</v>
      </c>
      <c r="L43" s="1">
        <v>1</v>
      </c>
      <c r="M43" s="27">
        <f t="shared" si="2"/>
        <v>1</v>
      </c>
    </row>
    <row r="44" spans="1:13" x14ac:dyDescent="0.5">
      <c r="A44" s="50">
        <v>45491</v>
      </c>
      <c r="B44" s="1" t="s">
        <v>253</v>
      </c>
      <c r="C44" s="1" t="s">
        <v>110</v>
      </c>
      <c r="D44" s="1" t="s">
        <v>189</v>
      </c>
      <c r="E44" s="1" t="s">
        <v>51</v>
      </c>
      <c r="F44" s="1" t="s">
        <v>26</v>
      </c>
      <c r="G44" s="3"/>
      <c r="H44" s="4" t="s">
        <v>7</v>
      </c>
      <c r="J44" s="12" t="s">
        <v>275</v>
      </c>
      <c r="K44" s="1">
        <v>1</v>
      </c>
      <c r="L44" s="1">
        <v>0</v>
      </c>
      <c r="M44" s="27">
        <f t="shared" si="2"/>
        <v>0</v>
      </c>
    </row>
    <row r="45" spans="1:13" ht="20.95" customHeight="1" x14ac:dyDescent="0.5">
      <c r="A45" s="50">
        <v>45492</v>
      </c>
      <c r="B45" s="1" t="s">
        <v>253</v>
      </c>
      <c r="C45" s="1" t="s">
        <v>111</v>
      </c>
      <c r="D45" s="1" t="s">
        <v>190</v>
      </c>
      <c r="E45" s="1" t="s">
        <v>52</v>
      </c>
      <c r="F45" s="1"/>
      <c r="G45" s="3"/>
      <c r="H45" s="4" t="s">
        <v>6</v>
      </c>
      <c r="J45" s="12" t="s">
        <v>276</v>
      </c>
      <c r="K45" s="1">
        <v>3</v>
      </c>
      <c r="L45" s="1">
        <v>0</v>
      </c>
      <c r="M45" s="27">
        <f t="shared" si="2"/>
        <v>0</v>
      </c>
    </row>
    <row r="46" spans="1:13" ht="20.45" customHeight="1" x14ac:dyDescent="0.5">
      <c r="A46" s="50">
        <v>45492</v>
      </c>
      <c r="B46" s="1" t="s">
        <v>253</v>
      </c>
      <c r="C46" s="1" t="s">
        <v>112</v>
      </c>
      <c r="D46" s="1" t="s">
        <v>191</v>
      </c>
      <c r="E46" s="1" t="s">
        <v>67</v>
      </c>
      <c r="F46" s="1"/>
      <c r="G46" s="3"/>
      <c r="H46" s="4" t="s">
        <v>7</v>
      </c>
      <c r="J46" s="12" t="s">
        <v>277</v>
      </c>
      <c r="K46" s="1">
        <v>1</v>
      </c>
      <c r="L46" s="1">
        <v>0</v>
      </c>
      <c r="M46" s="27">
        <f t="shared" si="2"/>
        <v>0</v>
      </c>
    </row>
    <row r="47" spans="1:13" ht="20.95" customHeight="1" x14ac:dyDescent="0.5">
      <c r="A47" s="50">
        <v>45496</v>
      </c>
      <c r="B47" s="1" t="s">
        <v>254</v>
      </c>
      <c r="C47" s="1" t="s">
        <v>113</v>
      </c>
      <c r="D47" s="1" t="s">
        <v>192</v>
      </c>
      <c r="E47" s="1" t="s">
        <v>52</v>
      </c>
      <c r="F47" s="1"/>
      <c r="G47" s="3"/>
      <c r="H47" s="4" t="s">
        <v>6</v>
      </c>
      <c r="J47" s="12" t="s">
        <v>278</v>
      </c>
      <c r="K47" s="1">
        <v>1</v>
      </c>
      <c r="L47" s="1">
        <v>0</v>
      </c>
      <c r="M47" s="27">
        <f t="shared" si="2"/>
        <v>0</v>
      </c>
    </row>
    <row r="48" spans="1:13" ht="19.25" customHeight="1" x14ac:dyDescent="0.5">
      <c r="A48" s="50">
        <v>45499</v>
      </c>
      <c r="B48" s="1" t="s">
        <v>255</v>
      </c>
      <c r="C48" s="1" t="s">
        <v>114</v>
      </c>
      <c r="D48" s="1" t="s">
        <v>193</v>
      </c>
      <c r="E48" s="1" t="s">
        <v>52</v>
      </c>
      <c r="F48" s="1"/>
      <c r="G48" s="3"/>
      <c r="H48" s="4" t="s">
        <v>6</v>
      </c>
      <c r="J48" s="12" t="s">
        <v>279</v>
      </c>
      <c r="K48" s="1">
        <v>1</v>
      </c>
      <c r="L48" s="1">
        <v>0</v>
      </c>
      <c r="M48" s="27">
        <f t="shared" si="2"/>
        <v>0</v>
      </c>
    </row>
    <row r="49" spans="1:13" x14ac:dyDescent="0.5">
      <c r="A49" s="50">
        <v>45509</v>
      </c>
      <c r="B49" s="1" t="s">
        <v>256</v>
      </c>
      <c r="C49" s="1" t="s">
        <v>115</v>
      </c>
      <c r="D49" s="1" t="s">
        <v>194</v>
      </c>
      <c r="E49" s="1" t="s">
        <v>52</v>
      </c>
      <c r="F49" s="1"/>
      <c r="G49" s="3"/>
      <c r="H49" s="4" t="s">
        <v>6</v>
      </c>
      <c r="J49" s="12" t="s">
        <v>280</v>
      </c>
      <c r="K49" s="1">
        <v>4</v>
      </c>
      <c r="L49" s="1">
        <v>0</v>
      </c>
      <c r="M49" s="27">
        <f t="shared" si="2"/>
        <v>0</v>
      </c>
    </row>
    <row r="50" spans="1:13" ht="17.5" customHeight="1" x14ac:dyDescent="0.5">
      <c r="A50" s="50">
        <v>45511</v>
      </c>
      <c r="B50" s="1" t="s">
        <v>256</v>
      </c>
      <c r="C50" s="1" t="s">
        <v>116</v>
      </c>
      <c r="D50" s="1" t="s">
        <v>195</v>
      </c>
      <c r="E50" s="1" t="s">
        <v>51</v>
      </c>
      <c r="F50" s="1" t="s">
        <v>26</v>
      </c>
      <c r="G50" s="3"/>
      <c r="H50" s="4" t="s">
        <v>7</v>
      </c>
      <c r="J50" s="12" t="s">
        <v>281</v>
      </c>
      <c r="K50" s="1">
        <v>1</v>
      </c>
      <c r="L50" s="1">
        <v>0</v>
      </c>
      <c r="M50" s="27">
        <f t="shared" si="2"/>
        <v>0</v>
      </c>
    </row>
    <row r="51" spans="1:13" x14ac:dyDescent="0.5">
      <c r="A51" s="50">
        <v>45512</v>
      </c>
      <c r="B51" s="1" t="s">
        <v>256</v>
      </c>
      <c r="C51" s="1" t="s">
        <v>117</v>
      </c>
      <c r="D51" s="1" t="s">
        <v>196</v>
      </c>
      <c r="E51" s="1" t="s">
        <v>52</v>
      </c>
      <c r="F51" s="1"/>
      <c r="G51" s="3"/>
      <c r="H51" s="4" t="s">
        <v>7</v>
      </c>
      <c r="J51" s="12" t="s">
        <v>282</v>
      </c>
      <c r="K51" s="1">
        <v>1</v>
      </c>
      <c r="L51" s="1">
        <v>0</v>
      </c>
      <c r="M51" s="27">
        <f t="shared" si="2"/>
        <v>0</v>
      </c>
    </row>
    <row r="52" spans="1:13" x14ac:dyDescent="0.5">
      <c r="A52" s="50">
        <v>45518</v>
      </c>
      <c r="B52" s="1" t="s">
        <v>256</v>
      </c>
      <c r="C52" s="1" t="s">
        <v>118</v>
      </c>
      <c r="D52" s="1" t="s">
        <v>197</v>
      </c>
      <c r="E52" s="1" t="s">
        <v>52</v>
      </c>
      <c r="F52" s="1"/>
      <c r="G52" s="3"/>
      <c r="H52" s="4" t="s">
        <v>6</v>
      </c>
      <c r="J52" s="12" t="s">
        <v>283</v>
      </c>
      <c r="K52" s="1">
        <v>4</v>
      </c>
      <c r="L52" s="1">
        <v>1</v>
      </c>
      <c r="M52" s="27">
        <f t="shared" si="2"/>
        <v>0.25</v>
      </c>
    </row>
    <row r="53" spans="1:13" ht="19.25" customHeight="1" x14ac:dyDescent="0.5">
      <c r="A53" s="50">
        <v>45531</v>
      </c>
      <c r="B53" s="1" t="s">
        <v>256</v>
      </c>
      <c r="C53" s="1" t="s">
        <v>119</v>
      </c>
      <c r="D53" s="1" t="s">
        <v>198</v>
      </c>
      <c r="E53" s="1" t="s">
        <v>52</v>
      </c>
      <c r="F53" s="1"/>
      <c r="G53" s="3"/>
      <c r="H53" s="4" t="s">
        <v>7</v>
      </c>
      <c r="J53" s="12" t="s">
        <v>284</v>
      </c>
      <c r="K53" s="1">
        <v>1</v>
      </c>
      <c r="L53" s="1">
        <v>0</v>
      </c>
      <c r="M53" s="27">
        <f t="shared" si="2"/>
        <v>0</v>
      </c>
    </row>
    <row r="54" spans="1:13" ht="19.25" customHeight="1" x14ac:dyDescent="0.5">
      <c r="A54" s="50">
        <v>45534</v>
      </c>
      <c r="B54" s="1" t="s">
        <v>257</v>
      </c>
      <c r="C54" s="1" t="s">
        <v>120</v>
      </c>
      <c r="D54" s="1" t="s">
        <v>199</v>
      </c>
      <c r="E54" s="1" t="s">
        <v>52</v>
      </c>
      <c r="F54" s="1"/>
      <c r="G54" s="3"/>
      <c r="H54" s="4" t="s">
        <v>7</v>
      </c>
      <c r="J54" s="12" t="s">
        <v>285</v>
      </c>
      <c r="K54" s="1">
        <v>1</v>
      </c>
      <c r="L54" s="1">
        <v>1</v>
      </c>
      <c r="M54" s="27">
        <f t="shared" si="2"/>
        <v>1</v>
      </c>
    </row>
    <row r="55" spans="1:13" x14ac:dyDescent="0.5">
      <c r="A55" s="50">
        <v>45539</v>
      </c>
      <c r="B55" s="1" t="s">
        <v>258</v>
      </c>
      <c r="C55" s="1" t="s">
        <v>121</v>
      </c>
      <c r="D55" s="1" t="s">
        <v>200</v>
      </c>
      <c r="E55" s="1" t="s">
        <v>51</v>
      </c>
      <c r="F55" s="1" t="s">
        <v>26</v>
      </c>
      <c r="G55" s="3"/>
      <c r="H55" s="4" t="s">
        <v>7</v>
      </c>
      <c r="J55" s="12" t="s">
        <v>286</v>
      </c>
      <c r="K55" s="1">
        <v>5</v>
      </c>
      <c r="L55" s="1">
        <v>0</v>
      </c>
      <c r="M55" s="27">
        <f t="shared" si="2"/>
        <v>0</v>
      </c>
    </row>
    <row r="56" spans="1:13" x14ac:dyDescent="0.5">
      <c r="A56" s="50">
        <v>45540</v>
      </c>
      <c r="B56" s="1" t="s">
        <v>258</v>
      </c>
      <c r="C56" s="1" t="s">
        <v>122</v>
      </c>
      <c r="D56" s="1" t="s">
        <v>201</v>
      </c>
      <c r="E56" s="1" t="s">
        <v>52</v>
      </c>
      <c r="F56" s="1"/>
      <c r="G56" s="3"/>
      <c r="H56" s="4" t="s">
        <v>7</v>
      </c>
      <c r="J56" s="12" t="s">
        <v>287</v>
      </c>
      <c r="K56" s="1">
        <v>1</v>
      </c>
      <c r="L56" s="1">
        <v>0</v>
      </c>
      <c r="M56" s="27">
        <f t="shared" si="2"/>
        <v>0</v>
      </c>
    </row>
    <row r="57" spans="1:13" x14ac:dyDescent="0.5">
      <c r="A57" s="50">
        <v>45545</v>
      </c>
      <c r="B57" s="1" t="s">
        <v>259</v>
      </c>
      <c r="C57" s="1" t="s">
        <v>123</v>
      </c>
      <c r="D57" s="1" t="s">
        <v>202</v>
      </c>
      <c r="E57" s="1" t="s">
        <v>52</v>
      </c>
      <c r="F57" s="1"/>
      <c r="G57" s="3"/>
      <c r="H57" s="4" t="s">
        <v>7</v>
      </c>
      <c r="J57" s="12" t="s">
        <v>288</v>
      </c>
      <c r="K57" s="1">
        <v>1</v>
      </c>
      <c r="L57" s="1">
        <v>0</v>
      </c>
      <c r="M57" s="27">
        <f t="shared" si="2"/>
        <v>0</v>
      </c>
    </row>
    <row r="58" spans="1:13" x14ac:dyDescent="0.5">
      <c r="A58" s="50">
        <v>45548</v>
      </c>
      <c r="B58" s="1" t="s">
        <v>260</v>
      </c>
      <c r="C58" s="1" t="s">
        <v>124</v>
      </c>
      <c r="D58" s="1" t="s">
        <v>203</v>
      </c>
      <c r="E58" s="1" t="s">
        <v>52</v>
      </c>
      <c r="F58" s="1"/>
      <c r="G58" s="3"/>
      <c r="H58" s="4" t="s">
        <v>6</v>
      </c>
      <c r="J58" s="12" t="s">
        <v>289</v>
      </c>
      <c r="K58" s="1">
        <v>1</v>
      </c>
      <c r="L58" s="1">
        <v>0</v>
      </c>
      <c r="M58" s="27">
        <f>IFERROR(L58/K58, "")</f>
        <v>0</v>
      </c>
    </row>
    <row r="59" spans="1:13" x14ac:dyDescent="0.5">
      <c r="A59" s="50">
        <v>45559</v>
      </c>
      <c r="B59" s="1" t="s">
        <v>261</v>
      </c>
      <c r="C59" s="1" t="s">
        <v>125</v>
      </c>
      <c r="D59" s="1" t="s">
        <v>204</v>
      </c>
      <c r="E59" s="1" t="s">
        <v>52</v>
      </c>
      <c r="F59" s="1"/>
      <c r="G59" s="3"/>
      <c r="H59" s="4" t="s">
        <v>7</v>
      </c>
      <c r="J59" s="12" t="s">
        <v>290</v>
      </c>
      <c r="K59" s="1">
        <v>6</v>
      </c>
      <c r="L59" s="1">
        <v>1</v>
      </c>
      <c r="M59" s="27">
        <f t="shared" si="2"/>
        <v>0.16666666666666666</v>
      </c>
    </row>
    <row r="60" spans="1:13" x14ac:dyDescent="0.5">
      <c r="A60" s="50">
        <v>45574</v>
      </c>
      <c r="B60" s="1" t="s">
        <v>261</v>
      </c>
      <c r="C60" s="1" t="s">
        <v>126</v>
      </c>
      <c r="D60" s="1" t="s">
        <v>205</v>
      </c>
      <c r="E60" s="1" t="s">
        <v>52</v>
      </c>
      <c r="F60" s="1"/>
      <c r="G60" s="3"/>
      <c r="H60" s="4" t="s">
        <v>6</v>
      </c>
      <c r="J60" s="12" t="s">
        <v>291</v>
      </c>
      <c r="K60" s="1">
        <v>1</v>
      </c>
      <c r="L60" s="1">
        <v>0</v>
      </c>
      <c r="M60" s="27">
        <f t="shared" si="2"/>
        <v>0</v>
      </c>
    </row>
    <row r="61" spans="1:13" ht="16.8" customHeight="1" x14ac:dyDescent="0.5">
      <c r="A61" s="50">
        <v>45575</v>
      </c>
      <c r="B61" s="1" t="s">
        <v>261</v>
      </c>
      <c r="C61" s="1" t="s">
        <v>127</v>
      </c>
      <c r="D61" s="1" t="s">
        <v>206</v>
      </c>
      <c r="E61" s="1" t="s">
        <v>67</v>
      </c>
      <c r="F61" s="1"/>
      <c r="G61" s="3"/>
      <c r="H61" s="4" t="s">
        <v>6</v>
      </c>
      <c r="J61" s="12" t="s">
        <v>292</v>
      </c>
      <c r="K61" s="1">
        <v>1</v>
      </c>
      <c r="L61" s="1">
        <v>0</v>
      </c>
      <c r="M61" s="27">
        <f t="shared" si="2"/>
        <v>0</v>
      </c>
    </row>
    <row r="62" spans="1:13" ht="19.25" customHeight="1" x14ac:dyDescent="0.5">
      <c r="A62" s="50">
        <v>45576</v>
      </c>
      <c r="B62" s="1" t="s">
        <v>261</v>
      </c>
      <c r="C62" s="1" t="s">
        <v>128</v>
      </c>
      <c r="D62" s="1" t="s">
        <v>207</v>
      </c>
      <c r="E62" s="1" t="s">
        <v>52</v>
      </c>
      <c r="F62" s="1"/>
      <c r="G62" s="3"/>
      <c r="H62" s="4" t="s">
        <v>7</v>
      </c>
      <c r="J62" s="12" t="s">
        <v>293</v>
      </c>
      <c r="K62" s="1">
        <v>5</v>
      </c>
      <c r="L62" s="1">
        <v>1</v>
      </c>
      <c r="M62" s="27">
        <f t="shared" si="2"/>
        <v>0.2</v>
      </c>
    </row>
    <row r="63" spans="1:13" ht="19.75" customHeight="1" x14ac:dyDescent="0.5">
      <c r="A63" s="50">
        <v>45580</v>
      </c>
      <c r="B63" s="1" t="s">
        <v>261</v>
      </c>
      <c r="C63" s="1" t="s">
        <v>129</v>
      </c>
      <c r="D63" s="1" t="s">
        <v>208</v>
      </c>
      <c r="E63" s="1" t="s">
        <v>52</v>
      </c>
      <c r="F63" s="1"/>
      <c r="G63" s="3"/>
      <c r="H63" s="4" t="s">
        <v>7</v>
      </c>
      <c r="J63" s="12" t="s">
        <v>294</v>
      </c>
      <c r="K63" s="1">
        <v>1</v>
      </c>
      <c r="L63" s="1">
        <v>0</v>
      </c>
      <c r="M63" s="27">
        <f t="shared" si="2"/>
        <v>0</v>
      </c>
    </row>
    <row r="64" spans="1:13" ht="18.55" customHeight="1" x14ac:dyDescent="0.5">
      <c r="A64" s="50">
        <v>45581</v>
      </c>
      <c r="B64" s="1" t="s">
        <v>261</v>
      </c>
      <c r="C64" s="1" t="s">
        <v>130</v>
      </c>
      <c r="D64" s="1" t="s">
        <v>209</v>
      </c>
      <c r="E64" s="1" t="s">
        <v>52</v>
      </c>
      <c r="F64" s="1"/>
      <c r="G64" s="3"/>
      <c r="H64" s="4" t="s">
        <v>6</v>
      </c>
      <c r="J64" s="12" t="s">
        <v>295</v>
      </c>
      <c r="K64" s="1">
        <v>2</v>
      </c>
      <c r="L64" s="1">
        <v>1</v>
      </c>
      <c r="M64" s="27">
        <f t="shared" si="2"/>
        <v>0.5</v>
      </c>
    </row>
    <row r="65" spans="1:13" ht="18.55" customHeight="1" x14ac:dyDescent="0.5">
      <c r="A65" s="50">
        <v>45582</v>
      </c>
      <c r="B65" s="1" t="s">
        <v>262</v>
      </c>
      <c r="C65" s="1" t="s">
        <v>131</v>
      </c>
      <c r="D65" s="1" t="s">
        <v>210</v>
      </c>
      <c r="E65" s="1" t="s">
        <v>52</v>
      </c>
      <c r="F65" s="1"/>
      <c r="G65" s="3"/>
      <c r="H65" s="4" t="s">
        <v>6</v>
      </c>
      <c r="J65" s="12" t="s">
        <v>296</v>
      </c>
      <c r="K65" s="1">
        <v>1</v>
      </c>
      <c r="L65" s="1">
        <v>0</v>
      </c>
      <c r="M65" s="27">
        <f t="shared" si="2"/>
        <v>0</v>
      </c>
    </row>
    <row r="66" spans="1:13" x14ac:dyDescent="0.5">
      <c r="A66" s="50">
        <v>45593</v>
      </c>
      <c r="B66" s="1" t="s">
        <v>263</v>
      </c>
      <c r="C66" s="1" t="s">
        <v>132</v>
      </c>
      <c r="D66" s="1" t="s">
        <v>211</v>
      </c>
      <c r="E66" s="1" t="s">
        <v>52</v>
      </c>
      <c r="F66" s="1"/>
      <c r="G66" s="3"/>
      <c r="H66" s="4" t="s">
        <v>7</v>
      </c>
      <c r="J66" s="12" t="s">
        <v>297</v>
      </c>
      <c r="K66" s="1">
        <v>1</v>
      </c>
      <c r="L66" s="1">
        <v>0</v>
      </c>
      <c r="M66" s="27">
        <f t="shared" si="2"/>
        <v>0</v>
      </c>
    </row>
    <row r="67" spans="1:13" x14ac:dyDescent="0.5">
      <c r="A67" s="50">
        <v>45595</v>
      </c>
      <c r="B67" s="1" t="s">
        <v>264</v>
      </c>
      <c r="C67" s="1" t="s">
        <v>133</v>
      </c>
      <c r="D67" s="1" t="s">
        <v>212</v>
      </c>
      <c r="E67" s="1" t="s">
        <v>52</v>
      </c>
      <c r="F67" s="1"/>
      <c r="G67" s="3"/>
      <c r="H67" s="4" t="s">
        <v>6</v>
      </c>
      <c r="J67" s="12" t="s">
        <v>298</v>
      </c>
      <c r="K67" s="1">
        <v>6</v>
      </c>
      <c r="L67" s="1">
        <v>0</v>
      </c>
      <c r="M67" s="27">
        <f t="shared" si="2"/>
        <v>0</v>
      </c>
    </row>
    <row r="68" spans="1:13" ht="18.55" customHeight="1" x14ac:dyDescent="0.5">
      <c r="A68" s="50">
        <v>45602</v>
      </c>
      <c r="B68" s="1" t="s">
        <v>265</v>
      </c>
      <c r="C68" s="1" t="s">
        <v>134</v>
      </c>
      <c r="D68" s="1" t="s">
        <v>213</v>
      </c>
      <c r="E68" s="1" t="s">
        <v>52</v>
      </c>
      <c r="F68" s="1"/>
      <c r="G68" s="3"/>
      <c r="H68" s="4" t="s">
        <v>7</v>
      </c>
      <c r="J68" s="12" t="s">
        <v>299</v>
      </c>
      <c r="K68" s="1">
        <v>1</v>
      </c>
      <c r="L68" s="1">
        <v>0</v>
      </c>
      <c r="M68" s="27">
        <f t="shared" si="2"/>
        <v>0</v>
      </c>
    </row>
    <row r="69" spans="1:13" x14ac:dyDescent="0.5">
      <c r="A69" s="50">
        <v>45610</v>
      </c>
      <c r="B69" s="1" t="s">
        <v>265</v>
      </c>
      <c r="C69" s="1" t="s">
        <v>135</v>
      </c>
      <c r="D69" s="1" t="s">
        <v>214</v>
      </c>
      <c r="E69" s="1" t="s">
        <v>51</v>
      </c>
      <c r="F69" s="1"/>
      <c r="G69" s="3"/>
      <c r="H69" s="4" t="s">
        <v>7</v>
      </c>
      <c r="J69" s="5" t="s">
        <v>263</v>
      </c>
      <c r="K69" s="1">
        <v>1</v>
      </c>
      <c r="L69" s="1">
        <v>0</v>
      </c>
      <c r="M69" s="27">
        <f t="shared" si="2"/>
        <v>0</v>
      </c>
    </row>
    <row r="70" spans="1:13" x14ac:dyDescent="0.5">
      <c r="A70" s="50">
        <v>45612</v>
      </c>
      <c r="B70" s="1" t="s">
        <v>265</v>
      </c>
      <c r="C70" s="1" t="s">
        <v>136</v>
      </c>
      <c r="D70" s="1" t="s">
        <v>215</v>
      </c>
      <c r="E70" s="1" t="s">
        <v>52</v>
      </c>
      <c r="F70" s="1"/>
      <c r="G70" s="3"/>
      <c r="H70" s="4" t="s">
        <v>6</v>
      </c>
      <c r="J70" s="5" t="s">
        <v>264</v>
      </c>
      <c r="K70" s="1">
        <v>1</v>
      </c>
      <c r="L70" s="1">
        <v>0</v>
      </c>
      <c r="M70" s="27">
        <f t="shared" si="2"/>
        <v>0</v>
      </c>
    </row>
    <row r="71" spans="1:13" ht="18" customHeight="1" x14ac:dyDescent="0.5">
      <c r="A71" s="50">
        <v>45623</v>
      </c>
      <c r="B71" s="1" t="s">
        <v>265</v>
      </c>
      <c r="C71" s="1" t="s">
        <v>137</v>
      </c>
      <c r="D71" s="1" t="s">
        <v>216</v>
      </c>
      <c r="E71" s="1" t="s">
        <v>52</v>
      </c>
      <c r="F71" s="1"/>
      <c r="G71" s="3"/>
      <c r="H71" s="4" t="s">
        <v>6</v>
      </c>
      <c r="J71" s="5" t="s">
        <v>265</v>
      </c>
      <c r="K71" s="1">
        <v>6</v>
      </c>
      <c r="L71" s="1">
        <v>1</v>
      </c>
      <c r="M71" s="27">
        <f t="shared" si="2"/>
        <v>0.16666666666666666</v>
      </c>
    </row>
    <row r="72" spans="1:13" x14ac:dyDescent="0.5">
      <c r="A72" s="50">
        <v>45630</v>
      </c>
      <c r="B72" s="1" t="s">
        <v>265</v>
      </c>
      <c r="C72" s="1" t="s">
        <v>138</v>
      </c>
      <c r="D72" s="1" t="s">
        <v>217</v>
      </c>
      <c r="E72" s="1" t="s">
        <v>52</v>
      </c>
      <c r="F72" s="1"/>
      <c r="G72" s="3"/>
      <c r="H72" s="4" t="s">
        <v>7</v>
      </c>
      <c r="J72" s="5" t="s">
        <v>266</v>
      </c>
      <c r="K72" s="1">
        <v>1</v>
      </c>
      <c r="L72" s="1">
        <v>0</v>
      </c>
      <c r="M72" s="27">
        <f t="shared" si="2"/>
        <v>0</v>
      </c>
    </row>
    <row r="73" spans="1:13" x14ac:dyDescent="0.5">
      <c r="A73" s="50">
        <v>45632</v>
      </c>
      <c r="B73" s="1" t="s">
        <v>265</v>
      </c>
      <c r="C73" s="1" t="s">
        <v>139</v>
      </c>
      <c r="D73" s="1" t="s">
        <v>218</v>
      </c>
      <c r="E73" s="1" t="s">
        <v>52</v>
      </c>
      <c r="F73" s="1"/>
      <c r="G73" s="3"/>
      <c r="H73" s="4" t="s">
        <v>7</v>
      </c>
      <c r="J73" s="5" t="s">
        <v>267</v>
      </c>
      <c r="K73" s="1">
        <v>4</v>
      </c>
      <c r="L73" s="1">
        <v>0</v>
      </c>
      <c r="M73" s="27">
        <f t="shared" si="2"/>
        <v>0</v>
      </c>
    </row>
    <row r="74" spans="1:13" x14ac:dyDescent="0.5">
      <c r="A74" s="50">
        <v>45635</v>
      </c>
      <c r="B74" s="1" t="s">
        <v>266</v>
      </c>
      <c r="C74" s="1" t="s">
        <v>140</v>
      </c>
      <c r="D74" s="1" t="s">
        <v>219</v>
      </c>
      <c r="E74" s="1" t="s">
        <v>52</v>
      </c>
      <c r="F74" s="1"/>
      <c r="G74" s="3"/>
      <c r="H74" s="4" t="s">
        <v>6</v>
      </c>
      <c r="J74" s="5" t="s">
        <v>268</v>
      </c>
      <c r="K74" s="1">
        <v>1</v>
      </c>
      <c r="L74" s="1">
        <v>0</v>
      </c>
      <c r="M74" s="27">
        <f t="shared" si="2"/>
        <v>0</v>
      </c>
    </row>
    <row r="75" spans="1:13" x14ac:dyDescent="0.5">
      <c r="A75" s="50">
        <v>45635</v>
      </c>
      <c r="B75" s="1" t="s">
        <v>267</v>
      </c>
      <c r="C75" s="1" t="s">
        <v>141</v>
      </c>
      <c r="D75" s="1" t="s">
        <v>220</v>
      </c>
      <c r="E75" s="1" t="s">
        <v>52</v>
      </c>
      <c r="F75" s="1"/>
      <c r="G75" s="3"/>
      <c r="H75" s="4" t="s">
        <v>6</v>
      </c>
      <c r="J75" s="5" t="s">
        <v>239</v>
      </c>
      <c r="K75" s="1">
        <v>1</v>
      </c>
      <c r="L75" s="1">
        <v>0</v>
      </c>
      <c r="M75" s="27">
        <f t="shared" si="2"/>
        <v>0</v>
      </c>
    </row>
    <row r="76" spans="1:13" x14ac:dyDescent="0.5">
      <c r="A76" s="50">
        <v>45635</v>
      </c>
      <c r="B76" s="1" t="s">
        <v>267</v>
      </c>
      <c r="C76" s="1" t="s">
        <v>142</v>
      </c>
      <c r="D76" s="1" t="s">
        <v>221</v>
      </c>
      <c r="E76" s="1" t="s">
        <v>52</v>
      </c>
      <c r="F76" s="1"/>
      <c r="G76" s="3"/>
      <c r="H76" s="4" t="s">
        <v>7</v>
      </c>
      <c r="J76" s="5"/>
      <c r="K76" s="1"/>
      <c r="L76" s="1"/>
      <c r="M76" s="27" t="str">
        <f t="shared" si="2"/>
        <v/>
      </c>
    </row>
    <row r="77" spans="1:13" ht="18.55" customHeight="1" x14ac:dyDescent="0.5">
      <c r="A77" s="50">
        <v>45639</v>
      </c>
      <c r="B77" s="1" t="s">
        <v>267</v>
      </c>
      <c r="C77" s="1" t="s">
        <v>143</v>
      </c>
      <c r="D77" s="1" t="s">
        <v>222</v>
      </c>
      <c r="E77" s="1" t="s">
        <v>52</v>
      </c>
      <c r="F77" s="1"/>
      <c r="G77" s="3"/>
      <c r="H77" s="4" t="s">
        <v>7</v>
      </c>
      <c r="J77" s="5"/>
      <c r="K77" s="1"/>
      <c r="L77" s="1"/>
      <c r="M77" s="27" t="str">
        <f t="shared" si="2"/>
        <v/>
      </c>
    </row>
    <row r="78" spans="1:13" ht="16.8" customHeight="1" x14ac:dyDescent="0.5">
      <c r="A78" s="50">
        <v>45645</v>
      </c>
      <c r="B78" s="1" t="s">
        <v>267</v>
      </c>
      <c r="C78" s="1" t="s">
        <v>144</v>
      </c>
      <c r="D78" s="1" t="s">
        <v>223</v>
      </c>
      <c r="E78" s="1" t="s">
        <v>52</v>
      </c>
      <c r="F78" s="1"/>
      <c r="G78" s="3"/>
      <c r="H78" s="4" t="s">
        <v>6</v>
      </c>
      <c r="J78" s="5"/>
      <c r="K78" s="1"/>
      <c r="L78" s="1"/>
      <c r="M78" s="27" t="str">
        <f t="shared" si="2"/>
        <v/>
      </c>
    </row>
    <row r="79" spans="1:13" ht="20.45" customHeight="1" x14ac:dyDescent="0.5">
      <c r="A79" s="50">
        <v>45649</v>
      </c>
      <c r="B79" s="1" t="s">
        <v>268</v>
      </c>
      <c r="C79" s="1" t="s">
        <v>145</v>
      </c>
      <c r="D79" s="1" t="s">
        <v>224</v>
      </c>
      <c r="E79" s="1" t="s">
        <v>52</v>
      </c>
      <c r="F79" s="1"/>
      <c r="G79" s="3"/>
      <c r="H79" s="4" t="s">
        <v>6</v>
      </c>
      <c r="J79" s="5"/>
      <c r="K79" s="1"/>
      <c r="L79" s="1"/>
      <c r="M79" s="27" t="str">
        <f t="shared" si="2"/>
        <v/>
      </c>
    </row>
    <row r="80" spans="1:13" ht="20.45" customHeight="1" x14ac:dyDescent="0.5">
      <c r="A80" s="50">
        <v>45650</v>
      </c>
      <c r="B80" s="1" t="s">
        <v>269</v>
      </c>
      <c r="C80" s="1" t="s">
        <v>146</v>
      </c>
      <c r="D80" s="1" t="s">
        <v>225</v>
      </c>
      <c r="E80" s="1" t="s">
        <v>52</v>
      </c>
      <c r="F80" s="1"/>
      <c r="G80" s="3"/>
      <c r="H80" s="4" t="s">
        <v>6</v>
      </c>
      <c r="J80" s="5"/>
      <c r="K80" s="1"/>
      <c r="L80" s="1"/>
      <c r="M80" s="27" t="str">
        <f t="shared" si="2"/>
        <v/>
      </c>
    </row>
    <row r="81" spans="1:13" x14ac:dyDescent="0.5">
      <c r="A81" s="9"/>
      <c r="B81" s="1"/>
      <c r="C81" s="1"/>
      <c r="D81" s="1"/>
      <c r="E81" s="1"/>
      <c r="F81" s="1"/>
      <c r="G81" s="1"/>
      <c r="H81" s="4"/>
      <c r="J81" s="5"/>
      <c r="K81" s="1"/>
      <c r="L81" s="1"/>
      <c r="M81" s="27" t="str">
        <f t="shared" si="2"/>
        <v/>
      </c>
    </row>
    <row r="82" spans="1:13" x14ac:dyDescent="0.5">
      <c r="A82" s="9"/>
      <c r="B82" s="1"/>
      <c r="C82" s="1"/>
      <c r="D82" s="1"/>
      <c r="E82" s="1"/>
      <c r="F82" s="1"/>
      <c r="G82" s="1"/>
      <c r="H82" s="4"/>
      <c r="J82" s="5"/>
      <c r="K82" s="1"/>
      <c r="L82" s="1"/>
      <c r="M82" s="27" t="str">
        <f t="shared" si="2"/>
        <v/>
      </c>
    </row>
    <row r="83" spans="1:13" x14ac:dyDescent="0.5">
      <c r="A83" s="9"/>
      <c r="B83" s="1"/>
      <c r="C83" s="1"/>
      <c r="D83" s="1"/>
      <c r="E83" s="1"/>
      <c r="F83" s="1"/>
      <c r="G83" s="1"/>
      <c r="H83" s="4"/>
      <c r="J83" s="5"/>
      <c r="K83" s="1"/>
      <c r="L83" s="1"/>
      <c r="M83" s="27" t="str">
        <f t="shared" si="2"/>
        <v/>
      </c>
    </row>
    <row r="84" spans="1:13" x14ac:dyDescent="0.5">
      <c r="A84" s="9"/>
      <c r="B84" s="1"/>
      <c r="C84" s="1"/>
      <c r="D84" s="1"/>
      <c r="E84" s="1"/>
      <c r="F84" s="1"/>
      <c r="G84" s="1"/>
      <c r="H84" s="4"/>
      <c r="J84" s="5"/>
      <c r="K84" s="1"/>
      <c r="L84" s="1"/>
      <c r="M84" s="27" t="str">
        <f t="shared" si="2"/>
        <v/>
      </c>
    </row>
    <row r="85" spans="1:13" x14ac:dyDescent="0.5">
      <c r="A85" s="9"/>
      <c r="B85" s="1"/>
      <c r="C85" s="1"/>
      <c r="D85" s="1"/>
      <c r="E85" s="1"/>
      <c r="F85" s="1"/>
      <c r="G85" s="1"/>
      <c r="H85" s="4"/>
      <c r="J85" s="5"/>
      <c r="K85" s="1"/>
      <c r="L85" s="1"/>
      <c r="M85" s="27" t="str">
        <f t="shared" si="2"/>
        <v/>
      </c>
    </row>
    <row r="86" spans="1:13" x14ac:dyDescent="0.5">
      <c r="A86" s="9"/>
      <c r="B86" s="1"/>
      <c r="C86" s="1"/>
      <c r="D86" s="1"/>
      <c r="E86" s="1"/>
      <c r="F86" s="1"/>
      <c r="G86" s="1"/>
      <c r="H86" s="4"/>
      <c r="J86" s="5"/>
      <c r="K86" s="1"/>
      <c r="L86" s="1"/>
      <c r="M86" s="27" t="str">
        <f t="shared" si="2"/>
        <v/>
      </c>
    </row>
    <row r="87" spans="1:13" x14ac:dyDescent="0.5">
      <c r="A87" s="9"/>
      <c r="B87" s="1"/>
      <c r="C87" s="1"/>
      <c r="D87" s="1"/>
      <c r="E87" s="1"/>
      <c r="F87" s="1"/>
      <c r="G87" s="1"/>
      <c r="H87" s="4"/>
      <c r="J87" s="5"/>
      <c r="K87" s="1"/>
      <c r="L87" s="1"/>
      <c r="M87" s="27" t="str">
        <f t="shared" si="2"/>
        <v/>
      </c>
    </row>
    <row r="88" spans="1:13" x14ac:dyDescent="0.5">
      <c r="A88" s="9"/>
      <c r="B88" s="1"/>
      <c r="C88" s="1"/>
      <c r="D88" s="1"/>
      <c r="E88" s="1"/>
      <c r="F88" s="1"/>
      <c r="G88" s="1"/>
      <c r="H88" s="4"/>
      <c r="J88" s="5"/>
      <c r="K88" s="1"/>
      <c r="L88" s="1"/>
      <c r="M88" s="27" t="str">
        <f t="shared" si="2"/>
        <v/>
      </c>
    </row>
    <row r="89" spans="1:13" x14ac:dyDescent="0.5">
      <c r="A89" s="9"/>
      <c r="B89" s="1"/>
      <c r="C89" s="1"/>
      <c r="D89" s="1"/>
      <c r="E89" s="1"/>
      <c r="F89" s="1"/>
      <c r="G89" s="1"/>
      <c r="H89" s="4"/>
      <c r="J89" s="5"/>
      <c r="K89" s="1"/>
      <c r="L89" s="1"/>
      <c r="M89" s="27" t="str">
        <f t="shared" si="2"/>
        <v/>
      </c>
    </row>
    <row r="90" spans="1:13" x14ac:dyDescent="0.5">
      <c r="A90" s="9"/>
      <c r="B90" s="1"/>
      <c r="C90" s="1"/>
      <c r="D90" s="1"/>
      <c r="E90" s="1"/>
      <c r="F90" s="1"/>
      <c r="G90" s="1"/>
      <c r="H90" s="4"/>
      <c r="J90" s="5"/>
      <c r="K90" s="1"/>
      <c r="L90" s="1"/>
      <c r="M90" s="27" t="str">
        <f t="shared" si="2"/>
        <v/>
      </c>
    </row>
    <row r="91" spans="1:13" x14ac:dyDescent="0.5">
      <c r="A91" s="9"/>
      <c r="B91" s="1"/>
      <c r="C91" s="1"/>
      <c r="D91" s="1"/>
      <c r="E91" s="1"/>
      <c r="F91" s="1"/>
      <c r="G91" s="1"/>
      <c r="H91" s="4"/>
      <c r="J91" s="5"/>
      <c r="K91" s="1"/>
      <c r="L91" s="1"/>
      <c r="M91" s="27" t="str">
        <f t="shared" si="2"/>
        <v/>
      </c>
    </row>
    <row r="92" spans="1:13" x14ac:dyDescent="0.5">
      <c r="A92" s="9"/>
      <c r="B92" s="1"/>
      <c r="C92" s="1"/>
      <c r="D92" s="1"/>
      <c r="E92" s="1"/>
      <c r="F92" s="1"/>
      <c r="G92" s="1"/>
      <c r="H92" s="4"/>
      <c r="J92" s="5"/>
      <c r="K92" s="1"/>
      <c r="L92" s="1"/>
      <c r="M92" s="27" t="str">
        <f t="shared" si="2"/>
        <v/>
      </c>
    </row>
    <row r="93" spans="1:13" x14ac:dyDescent="0.5">
      <c r="A93" s="9"/>
      <c r="B93" s="1"/>
      <c r="C93" s="1"/>
      <c r="D93" s="1"/>
      <c r="E93" s="1"/>
      <c r="F93" s="1"/>
      <c r="G93" s="1"/>
      <c r="H93" s="4"/>
      <c r="J93" s="5"/>
      <c r="K93" s="1"/>
      <c r="L93" s="1"/>
      <c r="M93" s="27" t="str">
        <f t="shared" si="2"/>
        <v/>
      </c>
    </row>
    <row r="94" spans="1:13" x14ac:dyDescent="0.5">
      <c r="A94" s="9"/>
      <c r="B94" s="1"/>
      <c r="C94" s="1"/>
      <c r="D94" s="1"/>
      <c r="E94" s="1"/>
      <c r="F94" s="1"/>
      <c r="G94" s="1"/>
      <c r="H94" s="4"/>
      <c r="J94" s="5"/>
      <c r="K94" s="1"/>
      <c r="L94" s="1"/>
      <c r="M94" s="27" t="str">
        <f t="shared" si="2"/>
        <v/>
      </c>
    </row>
    <row r="95" spans="1:13" x14ac:dyDescent="0.5">
      <c r="A95" s="9"/>
      <c r="B95" s="1"/>
      <c r="C95" s="1"/>
      <c r="D95" s="1"/>
      <c r="E95" s="1"/>
      <c r="F95" s="1"/>
      <c r="G95" s="1"/>
      <c r="H95" s="4"/>
      <c r="J95" s="5"/>
      <c r="K95" s="1"/>
      <c r="L95" s="1"/>
      <c r="M95" s="27" t="str">
        <f t="shared" si="2"/>
        <v/>
      </c>
    </row>
    <row r="96" spans="1:13" x14ac:dyDescent="0.5">
      <c r="A96" s="9"/>
      <c r="B96" s="1"/>
      <c r="C96" s="1"/>
      <c r="D96" s="1"/>
      <c r="E96" s="1"/>
      <c r="F96" s="1"/>
      <c r="G96" s="1"/>
      <c r="H96" s="4"/>
      <c r="J96" s="5"/>
      <c r="K96" s="1"/>
      <c r="L96" s="1"/>
      <c r="M96" s="27" t="str">
        <f t="shared" si="2"/>
        <v/>
      </c>
    </row>
    <row r="97" spans="1:13" x14ac:dyDescent="0.5">
      <c r="A97" s="9"/>
      <c r="B97" s="1"/>
      <c r="C97" s="1"/>
      <c r="D97" s="1"/>
      <c r="E97" s="1"/>
      <c r="F97" s="1"/>
      <c r="G97" s="1"/>
      <c r="H97" s="4"/>
      <c r="J97" s="5"/>
      <c r="K97" s="1"/>
      <c r="L97" s="1"/>
      <c r="M97" s="27" t="str">
        <f t="shared" si="2"/>
        <v/>
      </c>
    </row>
    <row r="98" spans="1:13" x14ac:dyDescent="0.5">
      <c r="A98" s="9"/>
      <c r="B98" s="1"/>
      <c r="C98" s="1"/>
      <c r="D98" s="1"/>
      <c r="E98" s="1"/>
      <c r="F98" s="1"/>
      <c r="G98" s="1"/>
      <c r="H98" s="4"/>
      <c r="J98" s="5"/>
      <c r="K98" s="1"/>
      <c r="L98" s="1"/>
      <c r="M98" s="27" t="str">
        <f t="shared" si="2"/>
        <v/>
      </c>
    </row>
    <row r="99" spans="1:13" x14ac:dyDescent="0.5">
      <c r="A99" s="9"/>
      <c r="B99" s="1"/>
      <c r="C99" s="1"/>
      <c r="D99" s="1"/>
      <c r="E99" s="1"/>
      <c r="F99" s="1"/>
      <c r="G99" s="1"/>
      <c r="H99" s="4"/>
      <c r="J99" s="5"/>
      <c r="K99" s="1"/>
      <c r="L99" s="1"/>
      <c r="M99" s="27" t="str">
        <f t="shared" si="2"/>
        <v/>
      </c>
    </row>
    <row r="100" spans="1:13" x14ac:dyDescent="0.5">
      <c r="A100" s="9"/>
      <c r="B100" s="1"/>
      <c r="C100" s="1"/>
      <c r="D100" s="1"/>
      <c r="E100" s="1"/>
      <c r="F100" s="1"/>
      <c r="G100" s="1"/>
      <c r="H100" s="4"/>
      <c r="J100" s="5"/>
      <c r="K100" s="1"/>
      <c r="L100" s="1"/>
      <c r="M100" s="27" t="str">
        <f t="shared" si="2"/>
        <v/>
      </c>
    </row>
    <row r="101" spans="1:13" x14ac:dyDescent="0.5">
      <c r="A101" s="9"/>
      <c r="B101" s="1"/>
      <c r="C101" s="1"/>
      <c r="D101" s="1"/>
      <c r="E101" s="1"/>
      <c r="F101" s="1"/>
      <c r="G101" s="1"/>
      <c r="H101" s="4"/>
      <c r="J101" s="5"/>
      <c r="K101" s="1"/>
      <c r="L101" s="1"/>
      <c r="M101" s="27" t="str">
        <f t="shared" si="2"/>
        <v/>
      </c>
    </row>
    <row r="102" spans="1:13" x14ac:dyDescent="0.5">
      <c r="A102" s="9"/>
      <c r="B102" s="1"/>
      <c r="C102" s="1"/>
      <c r="D102" s="1"/>
      <c r="E102" s="1"/>
      <c r="F102" s="1"/>
      <c r="G102" s="1"/>
      <c r="H102" s="4"/>
      <c r="J102" s="5"/>
      <c r="K102" s="1"/>
      <c r="L102" s="1"/>
      <c r="M102" s="27" t="str">
        <f t="shared" si="2"/>
        <v/>
      </c>
    </row>
    <row r="103" spans="1:13" x14ac:dyDescent="0.5">
      <c r="A103" s="9"/>
      <c r="B103" s="1"/>
      <c r="C103" s="1"/>
      <c r="D103" s="1"/>
      <c r="E103" s="1"/>
      <c r="F103" s="1"/>
      <c r="G103" s="1"/>
      <c r="H103" s="4"/>
      <c r="J103" s="5"/>
      <c r="K103" s="1"/>
      <c r="L103" s="1"/>
      <c r="M103" s="27" t="str">
        <f t="shared" si="2"/>
        <v/>
      </c>
    </row>
    <row r="104" spans="1:13" x14ac:dyDescent="0.5">
      <c r="A104" s="9"/>
      <c r="B104" s="1"/>
      <c r="C104" s="1"/>
      <c r="D104" s="1"/>
      <c r="E104" s="1"/>
      <c r="F104" s="1"/>
      <c r="G104" s="1"/>
      <c r="H104" s="4"/>
      <c r="J104" s="5"/>
      <c r="K104" s="1"/>
      <c r="L104" s="1"/>
      <c r="M104" s="27" t="str">
        <f t="shared" ref="M104:M121" si="3">IFERROR(L104/K104, "")</f>
        <v/>
      </c>
    </row>
    <row r="105" spans="1:13" x14ac:dyDescent="0.5">
      <c r="A105" s="9"/>
      <c r="B105" s="1"/>
      <c r="C105" s="1"/>
      <c r="D105" s="1"/>
      <c r="E105" s="1"/>
      <c r="F105" s="1"/>
      <c r="G105" s="1"/>
      <c r="H105" s="4"/>
      <c r="J105" s="5"/>
      <c r="K105" s="1"/>
      <c r="L105" s="1"/>
      <c r="M105" s="27" t="str">
        <f t="shared" si="3"/>
        <v/>
      </c>
    </row>
    <row r="106" spans="1:13" x14ac:dyDescent="0.5">
      <c r="A106" s="9"/>
      <c r="B106" s="1"/>
      <c r="C106" s="1"/>
      <c r="D106" s="1"/>
      <c r="E106" s="1"/>
      <c r="F106" s="1"/>
      <c r="G106" s="1"/>
      <c r="H106" s="4"/>
      <c r="J106" s="5"/>
      <c r="K106" s="1"/>
      <c r="L106" s="1"/>
      <c r="M106" s="27" t="str">
        <f t="shared" si="3"/>
        <v/>
      </c>
    </row>
    <row r="107" spans="1:13" x14ac:dyDescent="0.5">
      <c r="A107" s="9"/>
      <c r="B107" s="1"/>
      <c r="C107" s="1"/>
      <c r="D107" s="1"/>
      <c r="E107" s="1"/>
      <c r="F107" s="1"/>
      <c r="G107" s="1"/>
      <c r="H107" s="4"/>
      <c r="J107" s="5"/>
      <c r="K107" s="1"/>
      <c r="L107" s="1"/>
      <c r="M107" s="27" t="str">
        <f t="shared" si="3"/>
        <v/>
      </c>
    </row>
    <row r="108" spans="1:13" x14ac:dyDescent="0.5">
      <c r="A108" s="9"/>
      <c r="B108" s="1"/>
      <c r="C108" s="1"/>
      <c r="D108" s="1"/>
      <c r="E108" s="1"/>
      <c r="F108" s="1"/>
      <c r="G108" s="1"/>
      <c r="H108" s="4"/>
      <c r="J108" s="5"/>
      <c r="K108" s="1"/>
      <c r="L108" s="1"/>
      <c r="M108" s="27" t="str">
        <f t="shared" si="3"/>
        <v/>
      </c>
    </row>
    <row r="109" spans="1:13" x14ac:dyDescent="0.5">
      <c r="A109" s="9"/>
      <c r="B109" s="1"/>
      <c r="C109" s="1"/>
      <c r="D109" s="1"/>
      <c r="E109" s="1"/>
      <c r="F109" s="1"/>
      <c r="G109" s="1"/>
      <c r="H109" s="4"/>
      <c r="J109" s="5"/>
      <c r="K109" s="1"/>
      <c r="L109" s="1"/>
      <c r="M109" s="27" t="str">
        <f t="shared" si="3"/>
        <v/>
      </c>
    </row>
    <row r="110" spans="1:13" x14ac:dyDescent="0.5">
      <c r="A110" s="9"/>
      <c r="B110" s="1"/>
      <c r="C110" s="1"/>
      <c r="D110" s="1"/>
      <c r="E110" s="1"/>
      <c r="F110" s="1"/>
      <c r="G110" s="1"/>
      <c r="H110" s="4"/>
      <c r="J110" s="5"/>
      <c r="K110" s="1"/>
      <c r="L110" s="1"/>
      <c r="M110" s="27" t="str">
        <f t="shared" si="3"/>
        <v/>
      </c>
    </row>
    <row r="111" spans="1:13" x14ac:dyDescent="0.5">
      <c r="A111" s="9"/>
      <c r="B111" s="1"/>
      <c r="C111" s="1"/>
      <c r="D111" s="1"/>
      <c r="E111" s="1"/>
      <c r="F111" s="1"/>
      <c r="G111" s="1"/>
      <c r="H111" s="4"/>
      <c r="J111" s="5"/>
      <c r="K111" s="1"/>
      <c r="L111" s="1"/>
      <c r="M111" s="27" t="str">
        <f t="shared" si="3"/>
        <v/>
      </c>
    </row>
    <row r="112" spans="1:13" x14ac:dyDescent="0.5">
      <c r="A112" s="9"/>
      <c r="B112" s="1"/>
      <c r="C112" s="1"/>
      <c r="D112" s="1"/>
      <c r="E112" s="1"/>
      <c r="F112" s="1"/>
      <c r="G112" s="1"/>
      <c r="H112" s="4"/>
      <c r="J112" s="5"/>
      <c r="K112" s="1"/>
      <c r="L112" s="1"/>
      <c r="M112" s="27" t="str">
        <f t="shared" si="3"/>
        <v/>
      </c>
    </row>
    <row r="113" spans="1:13" x14ac:dyDescent="0.5">
      <c r="A113" s="9"/>
      <c r="B113" s="1"/>
      <c r="C113" s="1"/>
      <c r="D113" s="1"/>
      <c r="E113" s="1"/>
      <c r="F113" s="1"/>
      <c r="G113" s="1"/>
      <c r="H113" s="4"/>
      <c r="J113" s="5"/>
      <c r="K113" s="1"/>
      <c r="L113" s="1"/>
      <c r="M113" s="27" t="str">
        <f t="shared" si="3"/>
        <v/>
      </c>
    </row>
    <row r="114" spans="1:13" x14ac:dyDescent="0.5">
      <c r="A114" s="9"/>
      <c r="B114" s="1"/>
      <c r="C114" s="1"/>
      <c r="D114" s="1"/>
      <c r="E114" s="1"/>
      <c r="F114" s="1"/>
      <c r="G114" s="1"/>
      <c r="H114" s="4"/>
      <c r="J114" s="5"/>
      <c r="K114" s="1"/>
      <c r="L114" s="1"/>
      <c r="M114" s="27" t="str">
        <f t="shared" si="3"/>
        <v/>
      </c>
    </row>
    <row r="115" spans="1:13" x14ac:dyDescent="0.5">
      <c r="A115" s="9"/>
      <c r="B115" s="1"/>
      <c r="C115" s="1"/>
      <c r="D115" s="1"/>
      <c r="E115" s="1"/>
      <c r="F115" s="1"/>
      <c r="G115" s="1"/>
      <c r="H115" s="4"/>
      <c r="J115" s="5"/>
      <c r="K115" s="1"/>
      <c r="L115" s="1"/>
      <c r="M115" s="27" t="str">
        <f t="shared" si="3"/>
        <v/>
      </c>
    </row>
    <row r="116" spans="1:13" x14ac:dyDescent="0.5">
      <c r="A116" s="9"/>
      <c r="B116" s="1"/>
      <c r="C116" s="1"/>
      <c r="D116" s="1"/>
      <c r="E116" s="1"/>
      <c r="F116" s="1"/>
      <c r="G116" s="1"/>
      <c r="H116" s="4"/>
      <c r="J116" s="5"/>
      <c r="K116" s="1"/>
      <c r="L116" s="1"/>
      <c r="M116" s="27" t="str">
        <f t="shared" si="3"/>
        <v/>
      </c>
    </row>
    <row r="117" spans="1:13" x14ac:dyDescent="0.5">
      <c r="A117" s="9"/>
      <c r="B117" s="1"/>
      <c r="C117" s="1"/>
      <c r="D117" s="1"/>
      <c r="E117" s="1"/>
      <c r="F117" s="1"/>
      <c r="G117" s="1"/>
      <c r="H117" s="4"/>
      <c r="J117" s="5"/>
      <c r="K117" s="1"/>
      <c r="L117" s="1"/>
      <c r="M117" s="27" t="str">
        <f t="shared" si="3"/>
        <v/>
      </c>
    </row>
    <row r="118" spans="1:13" x14ac:dyDescent="0.5">
      <c r="A118" s="9"/>
      <c r="B118" s="1"/>
      <c r="C118" s="1"/>
      <c r="D118" s="1"/>
      <c r="E118" s="1"/>
      <c r="F118" s="1"/>
      <c r="G118" s="1"/>
      <c r="H118" s="4"/>
      <c r="J118" s="5"/>
      <c r="K118" s="1"/>
      <c r="L118" s="1"/>
      <c r="M118" s="27" t="str">
        <f t="shared" si="3"/>
        <v/>
      </c>
    </row>
    <row r="119" spans="1:13" x14ac:dyDescent="0.5">
      <c r="A119" s="9"/>
      <c r="B119" s="1"/>
      <c r="C119" s="1"/>
      <c r="D119" s="1"/>
      <c r="E119" s="1"/>
      <c r="F119" s="1"/>
      <c r="G119" s="1"/>
      <c r="H119" s="4"/>
      <c r="J119" s="5"/>
      <c r="K119" s="1"/>
      <c r="L119" s="1"/>
      <c r="M119" s="27" t="str">
        <f t="shared" si="3"/>
        <v/>
      </c>
    </row>
    <row r="120" spans="1:13" x14ac:dyDescent="0.5">
      <c r="A120" s="9"/>
      <c r="B120" s="1"/>
      <c r="C120" s="1"/>
      <c r="D120" s="1"/>
      <c r="E120" s="1"/>
      <c r="F120" s="1"/>
      <c r="G120" s="1"/>
      <c r="H120" s="4"/>
      <c r="J120" s="5"/>
      <c r="K120" s="1"/>
      <c r="L120" s="1"/>
      <c r="M120" s="27" t="str">
        <f t="shared" si="3"/>
        <v/>
      </c>
    </row>
    <row r="121" spans="1:13" ht="18.3" thickBot="1" x14ac:dyDescent="0.55000000000000004">
      <c r="A121" s="10"/>
      <c r="B121" s="7"/>
      <c r="C121" s="7"/>
      <c r="D121" s="7"/>
      <c r="E121" s="7"/>
      <c r="F121" s="7"/>
      <c r="G121" s="7"/>
      <c r="H121" s="8"/>
      <c r="J121" s="6"/>
      <c r="K121" s="7"/>
      <c r="L121" s="7"/>
      <c r="M121" s="31" t="str">
        <f t="shared" si="3"/>
        <v/>
      </c>
    </row>
  </sheetData>
  <mergeCells count="23">
    <mergeCell ref="J37:M37"/>
    <mergeCell ref="J29:L29"/>
    <mergeCell ref="M13:N13"/>
    <mergeCell ref="M14:N14"/>
    <mergeCell ref="M15:N15"/>
    <mergeCell ref="M16:N16"/>
    <mergeCell ref="M17:N17"/>
    <mergeCell ref="M24:N24"/>
    <mergeCell ref="M25:N25"/>
    <mergeCell ref="M26:N26"/>
    <mergeCell ref="M27:N27"/>
    <mergeCell ref="J6:N6"/>
    <mergeCell ref="J2:L2"/>
    <mergeCell ref="J21:N21"/>
    <mergeCell ref="M23:N23"/>
    <mergeCell ref="M22:N22"/>
    <mergeCell ref="M8:N8"/>
    <mergeCell ref="M9:N9"/>
    <mergeCell ref="M10:N10"/>
    <mergeCell ref="M11:N11"/>
    <mergeCell ref="M12:N12"/>
    <mergeCell ref="M18:N18"/>
    <mergeCell ref="M19:N19"/>
  </mergeCells>
  <phoneticPr fontId="1"/>
  <dataValidations count="3">
    <dataValidation type="list" allowBlank="1" showInputMessage="1" showErrorMessage="1" sqref="H2:H121" xr:uid="{6CEFEEC2-52C2-4C93-8D40-4444B35B256A}">
      <formula1>$J$31:$J$35</formula1>
    </dataValidation>
    <dataValidation type="list" allowBlank="1" showInputMessage="1" showErrorMessage="1" sqref="F2:F121" xr:uid="{78FDF2D0-AD44-48E3-A157-D772C6BEF06E}">
      <formula1>$J$23:$J$27</formula1>
    </dataValidation>
    <dataValidation type="list" allowBlank="1" showInputMessage="1" showErrorMessage="1" sqref="E2:E121" xr:uid="{0EC44315-28DC-4086-9F50-AFE074AA37ED}">
      <formula1>$P$7:$P$9</formula1>
    </dataValidation>
  </dataValidations>
  <pageMargins left="0.25" right="0.25" top="0.75" bottom="0.75" header="0.3" footer="0.3"/>
  <pageSetup paperSize="8" scale="48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D60A-9774-40EA-8166-4C7D0D7A374D}">
  <sheetPr codeName="Sheet4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/>
      <c r="B2" s="48"/>
      <c r="C2" s="48"/>
      <c r="D2" s="48"/>
      <c r="E2" s="48"/>
      <c r="F2" s="48"/>
      <c r="G2" s="48"/>
      <c r="H2" s="49"/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0</v>
      </c>
      <c r="K4" s="7">
        <f>COUNTIF(E2:E120,"*×*")</f>
        <v>0</v>
      </c>
      <c r="L4" s="26" t="str">
        <f>IF(J4&lt;&gt;0, K4/J4, "-")</f>
        <v>-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 t="str">
        <f>IFERROR(K31/J$4, "-")</f>
        <v>-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 t="str">
        <f>IFERROR(K32/J$4, "-")</f>
        <v>-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 t="str">
        <f>IFERROR(K33/J$4, "-")</f>
        <v>-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 t="str">
        <f>IFERROR(K34/J$4, "-")</f>
        <v>-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 t="str">
        <f>IFERROR(K35/J$4, "-")</f>
        <v>-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17:N17"/>
    <mergeCell ref="J2:L2"/>
    <mergeCell ref="J6:N6"/>
    <mergeCell ref="M8:N8"/>
    <mergeCell ref="M9:N9"/>
    <mergeCell ref="M10:N10"/>
    <mergeCell ref="M11:N11"/>
    <mergeCell ref="M12:N12"/>
    <mergeCell ref="M13:N13"/>
    <mergeCell ref="M14:N14"/>
    <mergeCell ref="M15:N15"/>
    <mergeCell ref="M16:N16"/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</mergeCells>
  <phoneticPr fontId="1"/>
  <dataValidations count="3">
    <dataValidation type="list" allowBlank="1" showInputMessage="1" showErrorMessage="1" sqref="F2:F121" xr:uid="{11F600AB-247C-4D47-A09B-8C638FB967EE}">
      <formula1>$J$23:$J$27</formula1>
    </dataValidation>
    <dataValidation type="list" allowBlank="1" showInputMessage="1" showErrorMessage="1" sqref="H2:H121" xr:uid="{16713CB6-4FDA-4D14-A781-CE698631D9C2}">
      <formula1>$J$31:$J$35</formula1>
    </dataValidation>
    <dataValidation type="list" allowBlank="1" showInputMessage="1" showErrorMessage="1" sqref="E2:E121" xr:uid="{8D296292-D744-4AC3-9B7A-20E9DED5DDF6}">
      <formula1>$P$7:$P$9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BB605-8C1F-47B3-97C0-B3FE0DBE2F69}">
  <sheetPr codeName="Sheet5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45301</v>
      </c>
      <c r="B2" s="48" t="s">
        <v>232</v>
      </c>
      <c r="C2" s="48" t="s">
        <v>68</v>
      </c>
      <c r="D2" s="48" t="s">
        <v>147</v>
      </c>
      <c r="E2" s="48" t="s">
        <v>51</v>
      </c>
      <c r="F2" s="48" t="s">
        <v>226</v>
      </c>
      <c r="G2" s="48"/>
      <c r="H2" s="49" t="s">
        <v>227</v>
      </c>
      <c r="J2" s="61" t="s">
        <v>33</v>
      </c>
      <c r="K2" s="62"/>
      <c r="L2" s="63"/>
    </row>
    <row r="3" spans="1:18" x14ac:dyDescent="0.5">
      <c r="A3" s="53">
        <v>45307</v>
      </c>
      <c r="B3" s="1" t="s">
        <v>232</v>
      </c>
      <c r="C3" s="1" t="s">
        <v>69</v>
      </c>
      <c r="D3" s="1" t="s">
        <v>148</v>
      </c>
      <c r="E3" s="1" t="s">
        <v>52</v>
      </c>
      <c r="F3" s="1"/>
      <c r="G3" s="1"/>
      <c r="H3" s="4" t="s">
        <v>228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45310</v>
      </c>
      <c r="B4" s="1" t="s">
        <v>232</v>
      </c>
      <c r="C4" s="1" t="s">
        <v>70</v>
      </c>
      <c r="D4" s="1" t="s">
        <v>149</v>
      </c>
      <c r="E4" s="1" t="s">
        <v>51</v>
      </c>
      <c r="F4" s="1" t="s">
        <v>229</v>
      </c>
      <c r="G4" s="1"/>
      <c r="H4" s="4" t="s">
        <v>230</v>
      </c>
      <c r="J4" s="6">
        <f>COUNTA(A2:A120)</f>
        <v>4</v>
      </c>
      <c r="K4" s="7">
        <f>COUNTIF(E2:E120,"*×*")</f>
        <v>2</v>
      </c>
      <c r="L4" s="26">
        <f>IF(J4&lt;&gt;0, K4/J4, "-")</f>
        <v>0.5</v>
      </c>
    </row>
    <row r="5" spans="1:18" ht="18.3" thickBot="1" x14ac:dyDescent="0.55000000000000004">
      <c r="A5" s="53">
        <v>45315</v>
      </c>
      <c r="B5" s="1" t="s">
        <v>232</v>
      </c>
      <c r="C5" s="1" t="s">
        <v>71</v>
      </c>
      <c r="D5" s="1" t="s">
        <v>150</v>
      </c>
      <c r="E5" s="1" t="s">
        <v>52</v>
      </c>
      <c r="F5" s="1"/>
      <c r="G5" s="1"/>
      <c r="H5" s="4" t="s">
        <v>230</v>
      </c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4</v>
      </c>
      <c r="L8" s="3">
        <f>COUNTIFS($A$1:$A$100,"&gt;=2024/1/1",$A$1:$A$100,"&lt;=2024/1/31",$E$1:$E$100,"×")</f>
        <v>2</v>
      </c>
      <c r="M8" s="71">
        <f>IFERROR(L8/K8, "-")</f>
        <v>0.5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1</v>
      </c>
      <c r="M24" s="67">
        <f t="shared" ref="M24:M27" si="1">IFERROR(L24/K$4, "-")</f>
        <v>0.5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1</v>
      </c>
      <c r="M25" s="67">
        <f t="shared" si="1"/>
        <v>0.5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>
        <f t="shared" si="1"/>
        <v>0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2</v>
      </c>
      <c r="L31" s="27">
        <f>IFERROR(K31/J$4, "-")</f>
        <v>0.5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0.25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1</v>
      </c>
      <c r="L34" s="27">
        <f>IFERROR(K34/J$4, "-")</f>
        <v>0.25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FB0E1847-A215-4098-8B07-57098BDB3651}">
      <formula1>$P$7:$P$9</formula1>
    </dataValidation>
    <dataValidation type="list" allowBlank="1" showInputMessage="1" showErrorMessage="1" sqref="H2:H121" xr:uid="{157A2B52-8DC9-4D52-BA2B-AFBBC143D53E}">
      <formula1>$J$31:$J$35</formula1>
    </dataValidation>
    <dataValidation type="list" allowBlank="1" showInputMessage="1" showErrorMessage="1" sqref="F2:F121" xr:uid="{2FD0154F-C2F3-4211-A206-16950D0346F5}">
      <formula1>$J$23:$J$27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ED41F-722C-4EA4-9E2B-BC4D1BA9901B}">
  <sheetPr codeName="Sheet6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45320</v>
      </c>
      <c r="B2" s="48" t="s">
        <v>233</v>
      </c>
      <c r="C2" s="48" t="s">
        <v>72</v>
      </c>
      <c r="D2" s="48" t="s">
        <v>151</v>
      </c>
      <c r="E2" s="48" t="s">
        <v>51</v>
      </c>
      <c r="F2" s="48" t="s">
        <v>226</v>
      </c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1</v>
      </c>
      <c r="L4" s="26">
        <f>IF(J4&lt;&gt;0, K4/J4, "-")</f>
        <v>1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1</v>
      </c>
      <c r="L8" s="3">
        <f>COUNTIFS($A$1:$A$100,"&gt;=2024/1/1",$A$1:$A$100,"&lt;=2024/1/31",$E$1:$E$100,"×")</f>
        <v>1</v>
      </c>
      <c r="M8" s="71">
        <f>IFERROR(L8/K8, "-")</f>
        <v>1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>
        <f t="shared" ref="M24:M27" si="1">IFERROR(L24/K$4, "-")</f>
        <v>0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1</v>
      </c>
      <c r="M25" s="67">
        <f t="shared" si="1"/>
        <v>1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>
        <f t="shared" si="1"/>
        <v>0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4AB0CA54-F335-4452-98BC-61493D051306}">
      <formula1>$P$7:$P$9</formula1>
    </dataValidation>
    <dataValidation type="list" allowBlank="1" showInputMessage="1" showErrorMessage="1" sqref="H2:H121" xr:uid="{7E173161-D157-4987-B1BF-745E93E59F05}">
      <formula1>$J$31:$J$35</formula1>
    </dataValidation>
    <dataValidation type="list" allowBlank="1" showInputMessage="1" showErrorMessage="1" sqref="F2:F121" xr:uid="{12CC900E-D7A8-476F-AB75-B2551FE30DE0}">
      <formula1>$J$23:$J$27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3DE29-490F-40E5-A29F-318BB3F69CDD}">
  <sheetPr codeName="Sheet7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45321</v>
      </c>
      <c r="B2" s="48" t="s">
        <v>234</v>
      </c>
      <c r="C2" s="48" t="s">
        <v>73</v>
      </c>
      <c r="D2" s="48" t="s">
        <v>152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>
        <v>45324</v>
      </c>
      <c r="B3" s="1" t="s">
        <v>234</v>
      </c>
      <c r="C3" s="1" t="s">
        <v>74</v>
      </c>
      <c r="D3" s="1" t="s">
        <v>153</v>
      </c>
      <c r="E3" s="1" t="s">
        <v>52</v>
      </c>
      <c r="F3" s="1"/>
      <c r="G3" s="1"/>
      <c r="H3" s="4" t="s">
        <v>228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45342</v>
      </c>
      <c r="B4" s="1" t="s">
        <v>234</v>
      </c>
      <c r="C4" s="1" t="s">
        <v>75</v>
      </c>
      <c r="D4" s="1" t="s">
        <v>154</v>
      </c>
      <c r="E4" s="1" t="s">
        <v>52</v>
      </c>
      <c r="F4" s="1"/>
      <c r="G4" s="1"/>
      <c r="H4" s="4" t="s">
        <v>228</v>
      </c>
      <c r="J4" s="6">
        <f>COUNTA(A2:A120)</f>
        <v>5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>
        <v>45349</v>
      </c>
      <c r="B5" s="1" t="s">
        <v>234</v>
      </c>
      <c r="C5" s="1" t="s">
        <v>76</v>
      </c>
      <c r="D5" s="1" t="s">
        <v>155</v>
      </c>
      <c r="E5" s="1" t="s">
        <v>52</v>
      </c>
      <c r="F5" s="1"/>
      <c r="G5" s="1"/>
      <c r="H5" s="4" t="s">
        <v>230</v>
      </c>
    </row>
    <row r="6" spans="1:18" x14ac:dyDescent="0.5">
      <c r="A6" s="53">
        <v>45352</v>
      </c>
      <c r="B6" s="1" t="s">
        <v>234</v>
      </c>
      <c r="C6" s="1" t="s">
        <v>77</v>
      </c>
      <c r="D6" s="1" t="s">
        <v>156</v>
      </c>
      <c r="E6" s="1" t="s">
        <v>52</v>
      </c>
      <c r="F6" s="1"/>
      <c r="G6" s="1"/>
      <c r="H6" s="4" t="s">
        <v>230</v>
      </c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1</v>
      </c>
      <c r="L8" s="3">
        <f>COUNTIFS($A$1:$A$100,"&gt;=2024/1/1",$A$1:$A$100,"&lt;=2024/1/31",$E$1:$E$100,"×")</f>
        <v>0</v>
      </c>
      <c r="M8" s="71">
        <f>IFERROR(L8/K8, "-")</f>
        <v>0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3</v>
      </c>
      <c r="L9" s="1">
        <f>COUNTIFS($A$1:$A$100,"&gt;=2024/2/1",$A$1:$A$100,"&lt;=2024/2/28",$E$1:$E$100,"×")</f>
        <v>0</v>
      </c>
      <c r="M9" s="73">
        <f t="shared" ref="M9:M19" si="0">IFERROR(L9/K9, "-")</f>
        <v>0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1</v>
      </c>
      <c r="L10" s="1">
        <f>COUNTIFS($A$1:$A$100,"&gt;=2024/3/1",$A$1:$A$100,"&lt;=2024/3/31",$E$1:$E$100,"×")</f>
        <v>0</v>
      </c>
      <c r="M10" s="73">
        <f t="shared" si="0"/>
        <v>0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2</v>
      </c>
      <c r="L31" s="27">
        <f>IFERROR(K31/J$4, "-")</f>
        <v>0.4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3</v>
      </c>
      <c r="L32" s="27">
        <f>IFERROR(K32/J$4, "-")</f>
        <v>0.6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229724F0-4975-4AC4-847E-AF89A3C32EB3}">
      <formula1>$P$7:$P$9</formula1>
    </dataValidation>
    <dataValidation type="list" allowBlank="1" showInputMessage="1" showErrorMessage="1" sqref="H2:H121" xr:uid="{5AD9EF5E-5F06-4FEB-85E8-2FCA30B53589}">
      <formula1>$J$31:$J$35</formula1>
    </dataValidation>
    <dataValidation type="list" allowBlank="1" showInputMessage="1" showErrorMessage="1" sqref="F2:F121" xr:uid="{D5FB8C04-5230-42BF-835D-A9F1FB937C2B}">
      <formula1>$J$23:$J$27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C64AA-D1F4-400D-B72E-534B24987CD4}">
  <sheetPr codeName="Sheet8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45356</v>
      </c>
      <c r="B2" s="48" t="s">
        <v>235</v>
      </c>
      <c r="C2" s="48" t="s">
        <v>78</v>
      </c>
      <c r="D2" s="48" t="s">
        <v>157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1</v>
      </c>
      <c r="L10" s="1">
        <f>COUNTIFS($A$1:$A$100,"&gt;=2024/3/1",$A$1:$A$100,"&lt;=2024/3/31",$E$1:$E$100,"×")</f>
        <v>0</v>
      </c>
      <c r="M10" s="73">
        <f t="shared" si="0"/>
        <v>0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90328033-6FFF-4B80-A238-C3D441492ED3}">
      <formula1>$P$7:$P$9</formula1>
    </dataValidation>
    <dataValidation type="list" allowBlank="1" showInputMessage="1" showErrorMessage="1" sqref="H2:H121" xr:uid="{A28C1B55-5005-4395-A8B5-27F4BB215B37}">
      <formula1>$J$31:$J$35</formula1>
    </dataValidation>
    <dataValidation type="list" allowBlank="1" showInputMessage="1" showErrorMessage="1" sqref="F2:F121" xr:uid="{4E988EE8-ECAE-4839-9A08-283840A3C764}">
      <formula1>$J$23:$J$27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AE91-690B-4E3B-8F0C-5D0C1DB6E647}">
  <sheetPr codeName="Sheet9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45357</v>
      </c>
      <c r="B2" s="48" t="s">
        <v>236</v>
      </c>
      <c r="C2" s="48" t="s">
        <v>79</v>
      </c>
      <c r="D2" s="48" t="s">
        <v>158</v>
      </c>
      <c r="E2" s="48" t="s">
        <v>51</v>
      </c>
      <c r="F2" s="48" t="s">
        <v>231</v>
      </c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1</v>
      </c>
      <c r="L4" s="26">
        <f>IF(J4&lt;&gt;0, K4/J4, "-")</f>
        <v>1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1</v>
      </c>
      <c r="L10" s="1">
        <f>COUNTIFS($A$1:$A$100,"&gt;=2024/3/1",$A$1:$A$100,"&lt;=2024/3/31",$E$1:$E$100,"×")</f>
        <v>1</v>
      </c>
      <c r="M10" s="73">
        <f t="shared" si="0"/>
        <v>1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>
        <f t="shared" ref="M24:M27" si="1">IFERROR(L24/K$4, "-")</f>
        <v>0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>
        <f t="shared" si="1"/>
        <v>0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1</v>
      </c>
      <c r="M27" s="83">
        <f t="shared" si="1"/>
        <v>1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E9AD8917-C42B-4FD2-BE14-F8EF3AAA2433}">
      <formula1>$P$7:$P$9</formula1>
    </dataValidation>
    <dataValidation type="list" allowBlank="1" showInputMessage="1" showErrorMessage="1" sqref="H2:H121" xr:uid="{37AC87DB-9F20-445E-8B56-90C202A3E317}">
      <formula1>$J$31:$J$35</formula1>
    </dataValidation>
    <dataValidation type="list" allowBlank="1" showInputMessage="1" showErrorMessage="1" sqref="F2:F121" xr:uid="{482B4468-A7CD-440D-B0BD-F7B2F1259D32}">
      <formula1>$J$23:$J$27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F1E48-0405-45F9-9BC3-EA3226FACB39}">
  <sheetPr codeName="Sheet10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45360</v>
      </c>
      <c r="B2" s="48" t="s">
        <v>237</v>
      </c>
      <c r="C2" s="48" t="s">
        <v>80</v>
      </c>
      <c r="D2" s="48" t="s">
        <v>159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1</v>
      </c>
      <c r="L10" s="1">
        <f>COUNTIFS($A$1:$A$100,"&gt;=2024/3/1",$A$1:$A$100,"&lt;=2024/3/31",$E$1:$E$100,"×")</f>
        <v>0</v>
      </c>
      <c r="M10" s="73">
        <f t="shared" si="0"/>
        <v>0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6566B729-4F55-40C4-A7AE-987ABBBB66BB}">
      <formula1>$P$7:$P$9</formula1>
    </dataValidation>
    <dataValidation type="list" allowBlank="1" showInputMessage="1" showErrorMessage="1" sqref="H2:H121" xr:uid="{263AC22B-2BA9-486D-924F-A787F3056679}">
      <formula1>$J$31:$J$35</formula1>
    </dataValidation>
    <dataValidation type="list" allowBlank="1" showInputMessage="1" showErrorMessage="1" sqref="F2:F121" xr:uid="{CD49AB1B-986A-4A32-B08C-778A90236DED}">
      <formula1>$J$23:$J$27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65F57-FC5C-4499-9B24-81F3635AAE1F}">
  <sheetPr codeName="Sheet11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45365</v>
      </c>
      <c r="B2" s="48" t="s">
        <v>238</v>
      </c>
      <c r="C2" s="48" t="s">
        <v>81</v>
      </c>
      <c r="D2" s="48" t="s">
        <v>160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>
        <v>45369</v>
      </c>
      <c r="B3" s="1" t="s">
        <v>238</v>
      </c>
      <c r="C3" s="1" t="s">
        <v>82</v>
      </c>
      <c r="D3" s="1" t="s">
        <v>161</v>
      </c>
      <c r="E3" s="1" t="s">
        <v>52</v>
      </c>
      <c r="F3" s="1"/>
      <c r="G3" s="1"/>
      <c r="H3" s="4" t="s">
        <v>230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45373</v>
      </c>
      <c r="B4" s="1" t="s">
        <v>238</v>
      </c>
      <c r="C4" s="1" t="s">
        <v>83</v>
      </c>
      <c r="D4" s="1" t="s">
        <v>162</v>
      </c>
      <c r="E4" s="1" t="s">
        <v>52</v>
      </c>
      <c r="F4" s="1"/>
      <c r="G4" s="1"/>
      <c r="H4" s="4" t="s">
        <v>228</v>
      </c>
      <c r="J4" s="6">
        <f>COUNTA(A2:A120)</f>
        <v>3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3</v>
      </c>
      <c r="L10" s="1">
        <f>COUNTIFS($A$1:$A$100,"&gt;=2024/3/1",$A$1:$A$100,"&lt;=2024/3/31",$E$1:$E$100,"×")</f>
        <v>0</v>
      </c>
      <c r="M10" s="73">
        <f t="shared" si="0"/>
        <v>0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0.33333333333333331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2</v>
      </c>
      <c r="L32" s="27">
        <f>IFERROR(K32/J$4, "-")</f>
        <v>0.66666666666666663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6F2E5682-86B2-4B57-93A9-571410FF5A03}">
      <formula1>$P$7:$P$9</formula1>
    </dataValidation>
    <dataValidation type="list" allowBlank="1" showInputMessage="1" showErrorMessage="1" sqref="H2:H121" xr:uid="{84D3B283-DE6A-46AC-A7EF-B62CAA20A0FD}">
      <formula1>$J$31:$J$35</formula1>
    </dataValidation>
    <dataValidation type="list" allowBlank="1" showInputMessage="1" showErrorMessage="1" sqref="F2:F121" xr:uid="{F82679A5-C1D8-4683-B244-AFEE792794B1}">
      <formula1>$J$23:$J$27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C7BA1-25F4-4295-9AAC-7463002D8D13}">
  <sheetPr codeName="Sheet12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45383</v>
      </c>
      <c r="B2" s="48" t="s">
        <v>240</v>
      </c>
      <c r="C2" s="48" t="s">
        <v>84</v>
      </c>
      <c r="D2" s="48" t="s">
        <v>163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1</v>
      </c>
      <c r="L11" s="1">
        <f>COUNTIFS($A$1:$A$100,"&gt;=2024/4/1",$A$1:$A$100,"&lt;=2024/4/30",$E$1:$E$100,"×")</f>
        <v>0</v>
      </c>
      <c r="M11" s="73">
        <f t="shared" si="0"/>
        <v>0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CB92215D-754D-4D8F-A3A5-4524B183C48E}">
      <formula1>$P$7:$P$9</formula1>
    </dataValidation>
    <dataValidation type="list" allowBlank="1" showInputMessage="1" showErrorMessage="1" sqref="H2:H121" xr:uid="{AD242DD1-1C19-4E1F-A2E4-5E761FC6270D}">
      <formula1>$J$31:$J$35</formula1>
    </dataValidation>
    <dataValidation type="list" allowBlank="1" showInputMessage="1" showErrorMessage="1" sqref="F2:F121" xr:uid="{96F5445A-BA50-4C06-B80E-FF2C879CFDA0}">
      <formula1>$J$23:$J$27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B67C3-7CD5-4BE0-8373-CB907901EC3B}">
  <sheetPr codeName="Sheet13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45385</v>
      </c>
      <c r="B2" s="48" t="s">
        <v>241</v>
      </c>
      <c r="C2" s="48" t="s">
        <v>85</v>
      </c>
      <c r="D2" s="48" t="s">
        <v>164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1</v>
      </c>
      <c r="L11" s="1">
        <f>COUNTIFS($A$1:$A$100,"&gt;=2024/4/1",$A$1:$A$100,"&lt;=2024/4/30",$E$1:$E$100,"×")</f>
        <v>0</v>
      </c>
      <c r="M11" s="73">
        <f t="shared" si="0"/>
        <v>0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74A9F54A-14E5-4E82-AA47-4574D3F17203}">
      <formula1>$P$7:$P$9</formula1>
    </dataValidation>
    <dataValidation type="list" allowBlank="1" showInputMessage="1" showErrorMessage="1" sqref="H2:H121" xr:uid="{80FE4137-2EDE-4072-92E3-068CC0E1EDFB}">
      <formula1>$J$31:$J$35</formula1>
    </dataValidation>
    <dataValidation type="list" allowBlank="1" showInputMessage="1" showErrorMessage="1" sqref="F2:F121" xr:uid="{55E8AE10-2309-4F19-994B-14BB941D530A}">
      <formula1>$J$23:$J$27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87B3-FC65-4FB5-8640-59C6A37A2296}">
  <sheetPr codeName="Sheet14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45387</v>
      </c>
      <c r="B2" s="48" t="s">
        <v>242</v>
      </c>
      <c r="C2" s="48" t="s">
        <v>86</v>
      </c>
      <c r="D2" s="48" t="s">
        <v>165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1</v>
      </c>
      <c r="L11" s="1">
        <f>COUNTIFS($A$1:$A$100,"&gt;=2024/4/1",$A$1:$A$100,"&lt;=2024/4/30",$E$1:$E$100,"×")</f>
        <v>0</v>
      </c>
      <c r="M11" s="73">
        <f t="shared" si="0"/>
        <v>0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8280F858-64FF-4614-A9D8-8594E3A46D7E}">
      <formula1>$P$7:$P$9</formula1>
    </dataValidation>
    <dataValidation type="list" allowBlank="1" showInputMessage="1" showErrorMessage="1" sqref="H2:H121" xr:uid="{5CAB0806-84E5-4D7B-89A6-F4A682159139}">
      <formula1>$J$31:$J$35</formula1>
    </dataValidation>
    <dataValidation type="list" allowBlank="1" showInputMessage="1" showErrorMessage="1" sqref="F2:F121" xr:uid="{89B58DDE-57F9-499F-B8C0-A6D674786152}">
      <formula1>$J$23:$J$27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F664D-9975-4B90-B120-B0034DB5145C}">
  <sheetPr codeName="Sheet15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45394</v>
      </c>
      <c r="B2" s="48" t="s">
        <v>243</v>
      </c>
      <c r="C2" s="48" t="s">
        <v>87</v>
      </c>
      <c r="D2" s="48" t="s">
        <v>166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>
        <v>45394</v>
      </c>
      <c r="B3" s="1" t="s">
        <v>243</v>
      </c>
      <c r="C3" s="1" t="s">
        <v>88</v>
      </c>
      <c r="D3" s="1" t="s">
        <v>167</v>
      </c>
      <c r="E3" s="1" t="s">
        <v>52</v>
      </c>
      <c r="F3" s="1"/>
      <c r="G3" s="1"/>
      <c r="H3" s="4" t="s">
        <v>228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45394</v>
      </c>
      <c r="B4" s="1" t="s">
        <v>243</v>
      </c>
      <c r="C4" s="1" t="s">
        <v>89</v>
      </c>
      <c r="D4" s="1" t="s">
        <v>168</v>
      </c>
      <c r="E4" s="1" t="s">
        <v>52</v>
      </c>
      <c r="F4" s="1"/>
      <c r="G4" s="1"/>
      <c r="H4" s="4" t="s">
        <v>230</v>
      </c>
      <c r="J4" s="6">
        <f>COUNTA(A2:A120)</f>
        <v>4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>
        <v>45397</v>
      </c>
      <c r="B5" s="1" t="s">
        <v>243</v>
      </c>
      <c r="C5" s="1" t="s">
        <v>90</v>
      </c>
      <c r="D5" s="1" t="s">
        <v>169</v>
      </c>
      <c r="E5" s="1" t="s">
        <v>52</v>
      </c>
      <c r="F5" s="1"/>
      <c r="G5" s="1"/>
      <c r="H5" s="4" t="s">
        <v>228</v>
      </c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4</v>
      </c>
      <c r="L11" s="1">
        <f>COUNTIFS($A$1:$A$100,"&gt;=2024/4/1",$A$1:$A$100,"&lt;=2024/4/30",$E$1:$E$100,"×")</f>
        <v>0</v>
      </c>
      <c r="M11" s="73">
        <f t="shared" si="0"/>
        <v>0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0.25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3</v>
      </c>
      <c r="L32" s="27">
        <f>IFERROR(K32/J$4, "-")</f>
        <v>0.75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F36A0AC5-BDA0-4A20-9EA4-B030824DAE6F}">
      <formula1>$P$7:$P$9</formula1>
    </dataValidation>
    <dataValidation type="list" allowBlank="1" showInputMessage="1" showErrorMessage="1" sqref="H2:H121" xr:uid="{1862ED3D-ABEC-4571-BD63-9952E22A88AE}">
      <formula1>$J$31:$J$35</formula1>
    </dataValidation>
    <dataValidation type="list" allowBlank="1" showInputMessage="1" showErrorMessage="1" sqref="F2:F121" xr:uid="{B095F1BA-6AE3-4A4D-9F8F-39B453B9C27C}">
      <formula1>$J$23:$J$27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48D3C-F311-488D-9BF3-05C8E901C638}">
  <sheetPr codeName="Sheet16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45404</v>
      </c>
      <c r="B2" s="48" t="s">
        <v>244</v>
      </c>
      <c r="C2" s="48" t="s">
        <v>91</v>
      </c>
      <c r="D2" s="48" t="s">
        <v>170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1</v>
      </c>
      <c r="L11" s="1">
        <f>COUNTIFS($A$1:$A$100,"&gt;=2024/4/1",$A$1:$A$100,"&lt;=2024/4/30",$E$1:$E$100,"×")</f>
        <v>0</v>
      </c>
      <c r="M11" s="73">
        <f t="shared" si="0"/>
        <v>0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A133D88B-7932-4979-BD04-0C66751C4E6A}">
      <formula1>$P$7:$P$9</formula1>
    </dataValidation>
    <dataValidation type="list" allowBlank="1" showInputMessage="1" showErrorMessage="1" sqref="H2:H121" xr:uid="{30991D45-FCFC-4A3B-A8D3-9A1B0F425F4E}">
      <formula1>$J$31:$J$35</formula1>
    </dataValidation>
    <dataValidation type="list" allowBlank="1" showInputMessage="1" showErrorMessage="1" sqref="F2:F121" xr:uid="{EF61DAF3-0363-4E62-B448-19DC308CBACA}">
      <formula1>$J$23:$J$27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AF8E6-C1C3-4AA1-9411-4073C14E6246}">
  <sheetPr codeName="Sheet17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45407</v>
      </c>
      <c r="B2" s="48" t="s">
        <v>245</v>
      </c>
      <c r="C2" s="48" t="s">
        <v>92</v>
      </c>
      <c r="D2" s="48" t="s">
        <v>171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1</v>
      </c>
      <c r="L11" s="1">
        <f>COUNTIFS($A$1:$A$100,"&gt;=2024/4/1",$A$1:$A$100,"&lt;=2024/4/30",$E$1:$E$100,"×")</f>
        <v>0</v>
      </c>
      <c r="M11" s="73">
        <f t="shared" si="0"/>
        <v>0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97FF240D-314E-443A-BD61-0B39D3DC1A9A}">
      <formula1>$P$7:$P$9</formula1>
    </dataValidation>
    <dataValidation type="list" allowBlank="1" showInputMessage="1" showErrorMessage="1" sqref="H2:H121" xr:uid="{607661AB-888D-4082-8DF8-E85767C11351}">
      <formula1>$J$31:$J$35</formula1>
    </dataValidation>
    <dataValidation type="list" allowBlank="1" showInputMessage="1" showErrorMessage="1" sqref="F2:F121" xr:uid="{D9C0936A-2CE6-46A4-8E40-E30819052C30}">
      <formula1>$J$23:$J$27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D82C-22A5-4351-8042-197E6A73FB5D}">
  <sheetPr codeName="Sheet18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45408</v>
      </c>
      <c r="B2" s="48" t="s">
        <v>246</v>
      </c>
      <c r="C2" s="48" t="s">
        <v>93</v>
      </c>
      <c r="D2" s="48" t="s">
        <v>172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>
        <v>45422</v>
      </c>
      <c r="B3" s="1" t="s">
        <v>246</v>
      </c>
      <c r="C3" s="1" t="s">
        <v>94</v>
      </c>
      <c r="D3" s="1" t="s">
        <v>173</v>
      </c>
      <c r="E3" s="1" t="s">
        <v>51</v>
      </c>
      <c r="F3" s="1" t="s">
        <v>231</v>
      </c>
      <c r="G3" s="1"/>
      <c r="H3" s="4" t="s">
        <v>230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45425</v>
      </c>
      <c r="B4" s="1" t="s">
        <v>246</v>
      </c>
      <c r="C4" s="1" t="s">
        <v>95</v>
      </c>
      <c r="D4" s="1" t="s">
        <v>174</v>
      </c>
      <c r="E4" s="1" t="s">
        <v>52</v>
      </c>
      <c r="F4" s="1"/>
      <c r="G4" s="1"/>
      <c r="H4" s="4" t="s">
        <v>230</v>
      </c>
      <c r="J4" s="6">
        <f>COUNTA(A2:A120)</f>
        <v>4</v>
      </c>
      <c r="K4" s="7">
        <f>COUNTIF(E2:E120,"*×*")</f>
        <v>1</v>
      </c>
      <c r="L4" s="26">
        <f>IF(J4&lt;&gt;0, K4/J4, "-")</f>
        <v>0.25</v>
      </c>
    </row>
    <row r="5" spans="1:18" ht="18.3" thickBot="1" x14ac:dyDescent="0.55000000000000004">
      <c r="A5" s="53">
        <v>45427</v>
      </c>
      <c r="B5" s="1" t="s">
        <v>246</v>
      </c>
      <c r="C5" s="1" t="s">
        <v>96</v>
      </c>
      <c r="D5" s="1" t="s">
        <v>175</v>
      </c>
      <c r="E5" s="1" t="s">
        <v>52</v>
      </c>
      <c r="F5" s="1"/>
      <c r="G5" s="1"/>
      <c r="H5" s="4" t="s">
        <v>230</v>
      </c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1</v>
      </c>
      <c r="L11" s="1">
        <f>COUNTIFS($A$1:$A$100,"&gt;=2024/4/1",$A$1:$A$100,"&lt;=2024/4/30",$E$1:$E$100,"×")</f>
        <v>0</v>
      </c>
      <c r="M11" s="73">
        <f t="shared" si="0"/>
        <v>0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3</v>
      </c>
      <c r="L12" s="1">
        <f>COUNTIFS($A$1:$A$100,"&gt;=2024/5/1",$A$1:$A$100,"&lt;=2024/5/31",$E$1:$E$100,"×")</f>
        <v>1</v>
      </c>
      <c r="M12" s="73">
        <f t="shared" si="0"/>
        <v>0.33333333333333331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>
        <f t="shared" ref="M24:M27" si="1">IFERROR(L24/K$4, "-")</f>
        <v>0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>
        <f t="shared" si="1"/>
        <v>0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1</v>
      </c>
      <c r="M27" s="83">
        <f t="shared" si="1"/>
        <v>1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4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3747D705-4AF2-4616-8540-AF898B689BF4}">
      <formula1>$P$7:$P$9</formula1>
    </dataValidation>
    <dataValidation type="list" allowBlank="1" showInputMessage="1" showErrorMessage="1" sqref="H2:H121" xr:uid="{23A17FE4-9154-467E-8E0E-87245D77AD66}">
      <formula1>$J$31:$J$35</formula1>
    </dataValidation>
    <dataValidation type="list" allowBlank="1" showInputMessage="1" showErrorMessage="1" sqref="F2:F121" xr:uid="{327EC47B-B889-43F4-B55C-03C4933ED242}">
      <formula1>$J$23:$J$27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3E48-CE5D-4E04-A7D7-6321B815D431}">
  <sheetPr codeName="Sheet19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45432</v>
      </c>
      <c r="B2" s="48" t="s">
        <v>247</v>
      </c>
      <c r="C2" s="48" t="s">
        <v>97</v>
      </c>
      <c r="D2" s="48" t="s">
        <v>176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1</v>
      </c>
      <c r="L12" s="1">
        <f>COUNTIFS($A$1:$A$100,"&gt;=2024/5/1",$A$1:$A$100,"&lt;=2024/5/31",$E$1:$E$100,"×")</f>
        <v>0</v>
      </c>
      <c r="M12" s="73">
        <f t="shared" si="0"/>
        <v>0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E6FB9D6D-7128-4EAF-9288-A7A8F64295ED}">
      <formula1>$P$7:$P$9</formula1>
    </dataValidation>
    <dataValidation type="list" allowBlank="1" showInputMessage="1" showErrorMessage="1" sqref="H2:H121" xr:uid="{58A010B4-C5CE-4F18-A0CA-1B72F5C62A31}">
      <formula1>$J$31:$J$35</formula1>
    </dataValidation>
    <dataValidation type="list" allowBlank="1" showInputMessage="1" showErrorMessage="1" sqref="F2:F121" xr:uid="{5903777E-EDA7-4D1D-B4EF-06D9B66813E8}">
      <formula1>$J$23:$J$27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E4824-68C3-452E-847F-E57135FE9080}">
  <sheetPr codeName="Sheet20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45433</v>
      </c>
      <c r="B2" s="48" t="s">
        <v>248</v>
      </c>
      <c r="C2" s="48" t="s">
        <v>98</v>
      </c>
      <c r="D2" s="48" t="s">
        <v>177</v>
      </c>
      <c r="E2" s="48" t="s">
        <v>51</v>
      </c>
      <c r="F2" s="48" t="s">
        <v>226</v>
      </c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1</v>
      </c>
      <c r="L4" s="26">
        <f>IF(J4&lt;&gt;0, K4/J4, "-")</f>
        <v>1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1</v>
      </c>
      <c r="L12" s="1">
        <f>COUNTIFS($A$1:$A$100,"&gt;=2024/5/1",$A$1:$A$100,"&lt;=2024/5/31",$E$1:$E$100,"×")</f>
        <v>1</v>
      </c>
      <c r="M12" s="73">
        <f t="shared" si="0"/>
        <v>1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>
        <f t="shared" ref="M24:M27" si="1">IFERROR(L24/K$4, "-")</f>
        <v>0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1</v>
      </c>
      <c r="M25" s="67">
        <f t="shared" si="1"/>
        <v>1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>
        <f t="shared" si="1"/>
        <v>0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70B441D5-BC60-4654-A1C7-371821362440}">
      <formula1>$P$7:$P$9</formula1>
    </dataValidation>
    <dataValidation type="list" allowBlank="1" showInputMessage="1" showErrorMessage="1" sqref="H2:H121" xr:uid="{AB78A4ED-2964-4197-98C3-6CFFF682A0A3}">
      <formula1>$J$31:$J$35</formula1>
    </dataValidation>
    <dataValidation type="list" allowBlank="1" showInputMessage="1" showErrorMessage="1" sqref="F2:F121" xr:uid="{05B98E68-7C72-4EF7-AA0F-669FC32EC050}">
      <formula1>$J$23:$J$27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895AA-5959-4A2B-A159-AC061E754734}">
  <sheetPr codeName="Sheet21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45434</v>
      </c>
      <c r="B2" s="48" t="s">
        <v>249</v>
      </c>
      <c r="C2" s="48" t="s">
        <v>99</v>
      </c>
      <c r="D2" s="48" t="s">
        <v>178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>
        <v>45440</v>
      </c>
      <c r="B3" s="1" t="s">
        <v>249</v>
      </c>
      <c r="C3" s="1" t="s">
        <v>100</v>
      </c>
      <c r="D3" s="1" t="s">
        <v>179</v>
      </c>
      <c r="E3" s="1" t="s">
        <v>52</v>
      </c>
      <c r="F3" s="1"/>
      <c r="G3" s="1"/>
      <c r="H3" s="4" t="s">
        <v>228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45448</v>
      </c>
      <c r="B4" s="1" t="s">
        <v>249</v>
      </c>
      <c r="C4" s="1" t="s">
        <v>101</v>
      </c>
      <c r="D4" s="1" t="s">
        <v>180</v>
      </c>
      <c r="E4" s="1" t="s">
        <v>52</v>
      </c>
      <c r="F4" s="1"/>
      <c r="G4" s="1"/>
      <c r="H4" s="4" t="s">
        <v>230</v>
      </c>
      <c r="J4" s="6">
        <f>COUNTA(A2:A120)</f>
        <v>5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>
        <v>45457</v>
      </c>
      <c r="B5" s="1" t="s">
        <v>249</v>
      </c>
      <c r="C5" s="1" t="s">
        <v>102</v>
      </c>
      <c r="D5" s="1" t="s">
        <v>181</v>
      </c>
      <c r="E5" s="1" t="s">
        <v>52</v>
      </c>
      <c r="F5" s="1"/>
      <c r="G5" s="1"/>
      <c r="H5" s="4" t="s">
        <v>228</v>
      </c>
    </row>
    <row r="6" spans="1:18" x14ac:dyDescent="0.5">
      <c r="A6" s="53">
        <v>45467</v>
      </c>
      <c r="B6" s="1" t="s">
        <v>249</v>
      </c>
      <c r="C6" s="1" t="s">
        <v>103</v>
      </c>
      <c r="D6" s="1" t="s">
        <v>182</v>
      </c>
      <c r="E6" s="1" t="s">
        <v>52</v>
      </c>
      <c r="F6" s="1"/>
      <c r="G6" s="1"/>
      <c r="H6" s="4" t="s">
        <v>230</v>
      </c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2</v>
      </c>
      <c r="L12" s="1">
        <f>COUNTIFS($A$1:$A$100,"&gt;=2024/5/1",$A$1:$A$100,"&lt;=2024/5/31",$E$1:$E$100,"×")</f>
        <v>0</v>
      </c>
      <c r="M12" s="73">
        <f t="shared" si="0"/>
        <v>0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3</v>
      </c>
      <c r="L13" s="1">
        <f>COUNTIFS($A$1:$A$100,"&gt;=2024/6/1",$A$1:$A$100,"&lt;=2024/6/31",$E$1:$E$100,"×")</f>
        <v>0</v>
      </c>
      <c r="M13" s="73">
        <f t="shared" si="0"/>
        <v>0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2</v>
      </c>
      <c r="L31" s="27">
        <f>IFERROR(K31/J$4, "-")</f>
        <v>0.4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3</v>
      </c>
      <c r="L32" s="27">
        <f>IFERROR(K32/J$4, "-")</f>
        <v>0.6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0194E96F-70B3-4180-ACA6-E1F38A787778}">
      <formula1>$P$7:$P$9</formula1>
    </dataValidation>
    <dataValidation type="list" allowBlank="1" showInputMessage="1" showErrorMessage="1" sqref="H2:H121" xr:uid="{3D07F23B-73F5-4BC6-971E-2E2EE3230090}">
      <formula1>$J$31:$J$35</formula1>
    </dataValidation>
    <dataValidation type="list" allowBlank="1" showInputMessage="1" showErrorMessage="1" sqref="F2:F121" xr:uid="{98E90E08-1909-4F45-945B-A78AB5600A02}">
      <formula1>$J$23:$J$27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EBD9E-2E0B-461F-A5EE-DB2608197577}">
  <sheetPr codeName="Sheet22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45467</v>
      </c>
      <c r="B2" s="48" t="s">
        <v>250</v>
      </c>
      <c r="C2" s="48" t="s">
        <v>104</v>
      </c>
      <c r="D2" s="48" t="s">
        <v>183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1</v>
      </c>
      <c r="L13" s="1">
        <f>COUNTIFS($A$1:$A$100,"&gt;=2024/6/1",$A$1:$A$100,"&lt;=2024/6/31",$E$1:$E$100,"×")</f>
        <v>0</v>
      </c>
      <c r="M13" s="73">
        <f t="shared" si="0"/>
        <v>0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AF63A2FC-F45E-4BD2-A088-46C8758D6FCC}">
      <formula1>$P$7:$P$9</formula1>
    </dataValidation>
    <dataValidation type="list" allowBlank="1" showInputMessage="1" showErrorMessage="1" sqref="H2:H121" xr:uid="{0E48609D-FF9E-4558-85C9-9415037C8582}">
      <formula1>$J$31:$J$35</formula1>
    </dataValidation>
    <dataValidation type="list" allowBlank="1" showInputMessage="1" showErrorMessage="1" sqref="F2:F121" xr:uid="{4E9301B4-2CF1-41BB-9B19-FF2CF843C56F}">
      <formula1>$J$23:$J$27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F3530-A256-441C-9CC9-2C3C8416A584}">
  <sheetPr codeName="Sheet23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45474</v>
      </c>
      <c r="B2" s="48" t="s">
        <v>251</v>
      </c>
      <c r="C2" s="48" t="s">
        <v>105</v>
      </c>
      <c r="D2" s="48" t="s">
        <v>184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1</v>
      </c>
      <c r="L14" s="1">
        <f>COUNTIFS($A$1:$A$100,"&gt;=2024/7/1",$A$1:$A$100,"&lt;=2024/7/31",$E$1:$E$100,"×")</f>
        <v>0</v>
      </c>
      <c r="M14" s="73">
        <f t="shared" si="0"/>
        <v>0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A58ED86F-9073-4C8C-9DFA-6684DE69B046}">
      <formula1>$P$7:$P$9</formula1>
    </dataValidation>
    <dataValidation type="list" allowBlank="1" showInputMessage="1" showErrorMessage="1" sqref="H2:H121" xr:uid="{E81713F1-2673-4B25-A6E5-5AACEB6E9436}">
      <formula1>$J$31:$J$35</formula1>
    </dataValidation>
    <dataValidation type="list" allowBlank="1" showInputMessage="1" showErrorMessage="1" sqref="F2:F121" xr:uid="{69FB8F69-7F71-4D9E-AC14-0F38E02C87BC}">
      <formula1>$J$23:$J$27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9DE12-DF2D-41EE-8FDB-A244F03DCE18}">
  <sheetPr codeName="Sheet24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45482</v>
      </c>
      <c r="B2" s="48" t="s">
        <v>252</v>
      </c>
      <c r="C2" s="48" t="s">
        <v>106</v>
      </c>
      <c r="D2" s="48" t="s">
        <v>185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1</v>
      </c>
      <c r="L14" s="1">
        <f>COUNTIFS($A$1:$A$100,"&gt;=2024/7/1",$A$1:$A$100,"&lt;=2024/7/31",$E$1:$E$100,"×")</f>
        <v>0</v>
      </c>
      <c r="M14" s="73">
        <f t="shared" si="0"/>
        <v>0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741BC4ED-6711-4AC2-8360-5CE5FFF92D3C}">
      <formula1>$P$7:$P$9</formula1>
    </dataValidation>
    <dataValidation type="list" allowBlank="1" showInputMessage="1" showErrorMessage="1" sqref="H2:H121" xr:uid="{C34D354F-8F51-42FB-872F-6B2808AD2098}">
      <formula1>$J$31:$J$35</formula1>
    </dataValidation>
    <dataValidation type="list" allowBlank="1" showInputMessage="1" showErrorMessage="1" sqref="F2:F121" xr:uid="{A086E9C0-528A-4D90-8732-351C63EBFE97}">
      <formula1>$J$23:$J$27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6CA43-8F1E-471E-90AF-51F22475A54E}">
  <sheetPr codeName="Sheet25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45484</v>
      </c>
      <c r="B2" s="48" t="s">
        <v>253</v>
      </c>
      <c r="C2" s="48" t="s">
        <v>107</v>
      </c>
      <c r="D2" s="48" t="s">
        <v>186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>
        <v>45485</v>
      </c>
      <c r="B3" s="1" t="s">
        <v>253</v>
      </c>
      <c r="C3" s="1" t="s">
        <v>108</v>
      </c>
      <c r="D3" s="1" t="s">
        <v>187</v>
      </c>
      <c r="E3" s="1" t="s">
        <v>52</v>
      </c>
      <c r="F3" s="1"/>
      <c r="G3" s="1"/>
      <c r="H3" s="4" t="s">
        <v>228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45489</v>
      </c>
      <c r="B4" s="1" t="s">
        <v>253</v>
      </c>
      <c r="C4" s="1" t="s">
        <v>109</v>
      </c>
      <c r="D4" s="1" t="s">
        <v>188</v>
      </c>
      <c r="E4" s="1" t="s">
        <v>52</v>
      </c>
      <c r="F4" s="1"/>
      <c r="G4" s="1"/>
      <c r="H4" s="4" t="s">
        <v>230</v>
      </c>
      <c r="J4" s="6">
        <f>COUNTA(A2:A120)</f>
        <v>6</v>
      </c>
      <c r="K4" s="7">
        <f>COUNTIF(E2:E120,"*×*")</f>
        <v>1</v>
      </c>
      <c r="L4" s="26">
        <f>IF(J4&lt;&gt;0, K4/J4, "-")</f>
        <v>0.16666666666666666</v>
      </c>
    </row>
    <row r="5" spans="1:18" ht="18.3" thickBot="1" x14ac:dyDescent="0.55000000000000004">
      <c r="A5" s="53">
        <v>45491</v>
      </c>
      <c r="B5" s="1" t="s">
        <v>253</v>
      </c>
      <c r="C5" s="1" t="s">
        <v>110</v>
      </c>
      <c r="D5" s="1" t="s">
        <v>189</v>
      </c>
      <c r="E5" s="1" t="s">
        <v>51</v>
      </c>
      <c r="F5" s="1" t="s">
        <v>226</v>
      </c>
      <c r="G5" s="1"/>
      <c r="H5" s="4" t="s">
        <v>228</v>
      </c>
    </row>
    <row r="6" spans="1:18" x14ac:dyDescent="0.5">
      <c r="A6" s="53">
        <v>45492</v>
      </c>
      <c r="B6" s="1" t="s">
        <v>253</v>
      </c>
      <c r="C6" s="1" t="s">
        <v>111</v>
      </c>
      <c r="D6" s="1" t="s">
        <v>190</v>
      </c>
      <c r="E6" s="1" t="s">
        <v>52</v>
      </c>
      <c r="F6" s="1"/>
      <c r="G6" s="1"/>
      <c r="H6" s="4" t="s">
        <v>230</v>
      </c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>
        <v>45492</v>
      </c>
      <c r="B7" s="1" t="s">
        <v>253</v>
      </c>
      <c r="C7" s="1" t="s">
        <v>112</v>
      </c>
      <c r="D7" s="1" t="s">
        <v>191</v>
      </c>
      <c r="E7" s="1" t="s">
        <v>67</v>
      </c>
      <c r="F7" s="1"/>
      <c r="G7" s="1"/>
      <c r="H7" s="4" t="s">
        <v>228</v>
      </c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6</v>
      </c>
      <c r="L14" s="1">
        <f>COUNTIFS($A$1:$A$100,"&gt;=2024/7/1",$A$1:$A$100,"&lt;=2024/7/31",$E$1:$E$100,"×")</f>
        <v>1</v>
      </c>
      <c r="M14" s="73">
        <f t="shared" si="0"/>
        <v>0.16666666666666666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>
        <f t="shared" ref="M24:M27" si="1">IFERROR(L24/K$4, "-")</f>
        <v>0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1</v>
      </c>
      <c r="M25" s="67">
        <f t="shared" si="1"/>
        <v>1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>
        <f t="shared" si="1"/>
        <v>0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2</v>
      </c>
      <c r="L31" s="27">
        <f>IFERROR(K31/J$4, "-")</f>
        <v>0.33333333333333331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4</v>
      </c>
      <c r="L32" s="27">
        <f>IFERROR(K32/J$4, "-")</f>
        <v>0.66666666666666663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09FFBC69-50D8-4351-A6D2-50F1AEC4436E}">
      <formula1>$P$7:$P$9</formula1>
    </dataValidation>
    <dataValidation type="list" allowBlank="1" showInputMessage="1" showErrorMessage="1" sqref="H2:H121" xr:uid="{34CA303E-C575-4A40-923C-584334FE755E}">
      <formula1>$J$31:$J$35</formula1>
    </dataValidation>
    <dataValidation type="list" allowBlank="1" showInputMessage="1" showErrorMessage="1" sqref="F2:F121" xr:uid="{E057BB7C-F3F6-4834-BBFB-0CC1E47610DD}">
      <formula1>$J$23:$J$27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7F03A-BE2D-422A-BAC9-8415CF23D773}">
  <sheetPr codeName="Sheet26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45496</v>
      </c>
      <c r="B2" s="48" t="s">
        <v>254</v>
      </c>
      <c r="C2" s="48" t="s">
        <v>113</v>
      </c>
      <c r="D2" s="48" t="s">
        <v>192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1</v>
      </c>
      <c r="L14" s="1">
        <f>COUNTIFS($A$1:$A$100,"&gt;=2024/7/1",$A$1:$A$100,"&lt;=2024/7/31",$E$1:$E$100,"×")</f>
        <v>0</v>
      </c>
      <c r="M14" s="73">
        <f t="shared" si="0"/>
        <v>0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C8A91226-1846-4B3B-919B-76B92B2F6142}">
      <formula1>$P$7:$P$9</formula1>
    </dataValidation>
    <dataValidation type="list" allowBlank="1" showInputMessage="1" showErrorMessage="1" sqref="H2:H121" xr:uid="{CDD4F057-F027-4190-86A4-113A8CD8CE7B}">
      <formula1>$J$31:$J$35</formula1>
    </dataValidation>
    <dataValidation type="list" allowBlank="1" showInputMessage="1" showErrorMessage="1" sqref="F2:F121" xr:uid="{39054735-E8A5-430D-8861-3AECA553EE10}">
      <formula1>$J$23:$J$27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1F160-57BD-4B8D-AB84-DF37DC8E3446}">
  <sheetPr codeName="Sheet27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45499</v>
      </c>
      <c r="B2" s="48" t="s">
        <v>255</v>
      </c>
      <c r="C2" s="48" t="s">
        <v>114</v>
      </c>
      <c r="D2" s="48" t="s">
        <v>193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1</v>
      </c>
      <c r="L14" s="1">
        <f>COUNTIFS($A$1:$A$100,"&gt;=2024/7/1",$A$1:$A$100,"&lt;=2024/7/31",$E$1:$E$100,"×")</f>
        <v>0</v>
      </c>
      <c r="M14" s="73">
        <f t="shared" si="0"/>
        <v>0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B41B7143-3C23-4A5B-B3A4-6E7362CF9225}">
      <formula1>$P$7:$P$9</formula1>
    </dataValidation>
    <dataValidation type="list" allowBlank="1" showInputMessage="1" showErrorMessage="1" sqref="H2:H121" xr:uid="{CB2FC656-B7C1-4F39-B8E0-118F1B36BF75}">
      <formula1>$J$31:$J$35</formula1>
    </dataValidation>
    <dataValidation type="list" allowBlank="1" showInputMessage="1" showErrorMessage="1" sqref="F2:F121" xr:uid="{034885E7-0F23-4067-A70B-F3B9E0E12228}">
      <formula1>$J$23:$J$27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924F6-0376-4C5E-ABC0-3F761BE534AD}">
  <sheetPr codeName="Sheet28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45509</v>
      </c>
      <c r="B2" s="48" t="s">
        <v>256</v>
      </c>
      <c r="C2" s="48" t="s">
        <v>115</v>
      </c>
      <c r="D2" s="48" t="s">
        <v>194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>
        <v>45511</v>
      </c>
      <c r="B3" s="1" t="s">
        <v>256</v>
      </c>
      <c r="C3" s="1" t="s">
        <v>116</v>
      </c>
      <c r="D3" s="1" t="s">
        <v>195</v>
      </c>
      <c r="E3" s="1" t="s">
        <v>51</v>
      </c>
      <c r="F3" s="1" t="s">
        <v>226</v>
      </c>
      <c r="G3" s="1"/>
      <c r="H3" s="4" t="s">
        <v>228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45512</v>
      </c>
      <c r="B4" s="1" t="s">
        <v>256</v>
      </c>
      <c r="C4" s="1" t="s">
        <v>117</v>
      </c>
      <c r="D4" s="1" t="s">
        <v>196</v>
      </c>
      <c r="E4" s="1" t="s">
        <v>52</v>
      </c>
      <c r="F4" s="1"/>
      <c r="G4" s="1"/>
      <c r="H4" s="4" t="s">
        <v>228</v>
      </c>
      <c r="J4" s="6">
        <f>COUNTA(A2:A120)</f>
        <v>5</v>
      </c>
      <c r="K4" s="7">
        <f>COUNTIF(E2:E120,"*×*")</f>
        <v>1</v>
      </c>
      <c r="L4" s="26">
        <f>IF(J4&lt;&gt;0, K4/J4, "-")</f>
        <v>0.2</v>
      </c>
    </row>
    <row r="5" spans="1:18" ht="18.3" thickBot="1" x14ac:dyDescent="0.55000000000000004">
      <c r="A5" s="53">
        <v>45518</v>
      </c>
      <c r="B5" s="1" t="s">
        <v>256</v>
      </c>
      <c r="C5" s="1" t="s">
        <v>118</v>
      </c>
      <c r="D5" s="1" t="s">
        <v>197</v>
      </c>
      <c r="E5" s="1" t="s">
        <v>52</v>
      </c>
      <c r="F5" s="1"/>
      <c r="G5" s="1"/>
      <c r="H5" s="4" t="s">
        <v>230</v>
      </c>
    </row>
    <row r="6" spans="1:18" x14ac:dyDescent="0.5">
      <c r="A6" s="53">
        <v>45531</v>
      </c>
      <c r="B6" s="1" t="s">
        <v>256</v>
      </c>
      <c r="C6" s="1" t="s">
        <v>119</v>
      </c>
      <c r="D6" s="1" t="s">
        <v>198</v>
      </c>
      <c r="E6" s="1" t="s">
        <v>52</v>
      </c>
      <c r="F6" s="1"/>
      <c r="G6" s="1"/>
      <c r="H6" s="4" t="s">
        <v>228</v>
      </c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5</v>
      </c>
      <c r="L15" s="1">
        <f>COUNTIFS($A$1:$A$100,"&gt;=2024/8/1",$A$1:$A$100,"&lt;=2024/8/31",$E$1:$E$100,"×")</f>
        <v>1</v>
      </c>
      <c r="M15" s="73">
        <f t="shared" si="0"/>
        <v>0.2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>
        <f t="shared" ref="M24:M27" si="1">IFERROR(L24/K$4, "-")</f>
        <v>0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1</v>
      </c>
      <c r="M25" s="67">
        <f t="shared" si="1"/>
        <v>1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>
        <f t="shared" si="1"/>
        <v>0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2</v>
      </c>
      <c r="L31" s="27">
        <f>IFERROR(K31/J$4, "-")</f>
        <v>0.4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3</v>
      </c>
      <c r="L32" s="27">
        <f>IFERROR(K32/J$4, "-")</f>
        <v>0.6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3AB4D096-9BBD-4EF9-8BB8-A067EBC5D720}">
      <formula1>$P$7:$P$9</formula1>
    </dataValidation>
    <dataValidation type="list" allowBlank="1" showInputMessage="1" showErrorMessage="1" sqref="H2:H121" xr:uid="{1A31FDC9-D11C-4799-ACA2-0FDBD74C1B41}">
      <formula1>$J$31:$J$35</formula1>
    </dataValidation>
    <dataValidation type="list" allowBlank="1" showInputMessage="1" showErrorMessage="1" sqref="F2:F121" xr:uid="{31F4D60F-2232-4FAB-9C5C-B8C31DAD284B}">
      <formula1>$J$23:$J$27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B35BE-3CC5-46BA-8BFD-31DF3F0F9578}">
  <sheetPr codeName="Sheet29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45534</v>
      </c>
      <c r="B2" s="48" t="s">
        <v>257</v>
      </c>
      <c r="C2" s="48" t="s">
        <v>120</v>
      </c>
      <c r="D2" s="48" t="s">
        <v>199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1</v>
      </c>
      <c r="L15" s="1">
        <f>COUNTIFS($A$1:$A$100,"&gt;=2024/8/1",$A$1:$A$100,"&lt;=2024/8/31",$E$1:$E$100,"×")</f>
        <v>0</v>
      </c>
      <c r="M15" s="73">
        <f t="shared" si="0"/>
        <v>0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CDA4F8EA-DA1A-4BFB-8F29-C7D119BEA67D}">
      <formula1>$P$7:$P$9</formula1>
    </dataValidation>
    <dataValidation type="list" allowBlank="1" showInputMessage="1" showErrorMessage="1" sqref="H2:H121" xr:uid="{3E409995-9033-471B-9CC8-8983571A1386}">
      <formula1>$J$31:$J$35</formula1>
    </dataValidation>
    <dataValidation type="list" allowBlank="1" showInputMessage="1" showErrorMessage="1" sqref="F2:F121" xr:uid="{A900FE7B-0B00-4887-BBC7-57A10CD6E4F2}">
      <formula1>$J$23:$J$27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09225-B992-4B21-9D81-3B25464BBE97}">
  <sheetPr codeName="Sheet30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45539</v>
      </c>
      <c r="B2" s="48" t="s">
        <v>258</v>
      </c>
      <c r="C2" s="48" t="s">
        <v>121</v>
      </c>
      <c r="D2" s="48" t="s">
        <v>200</v>
      </c>
      <c r="E2" s="48" t="s">
        <v>51</v>
      </c>
      <c r="F2" s="48" t="s">
        <v>226</v>
      </c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>
        <v>45540</v>
      </c>
      <c r="B3" s="1" t="s">
        <v>258</v>
      </c>
      <c r="C3" s="1" t="s">
        <v>122</v>
      </c>
      <c r="D3" s="1" t="s">
        <v>201</v>
      </c>
      <c r="E3" s="1" t="s">
        <v>52</v>
      </c>
      <c r="F3" s="1"/>
      <c r="G3" s="1"/>
      <c r="H3" s="4" t="s">
        <v>228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2</v>
      </c>
      <c r="K4" s="7">
        <f>COUNTIF(E2:E120,"*×*")</f>
        <v>1</v>
      </c>
      <c r="L4" s="26">
        <f>IF(J4&lt;&gt;0, K4/J4, "-")</f>
        <v>0.5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2</v>
      </c>
      <c r="L16" s="1">
        <f>COUNTIFS($A$1:$A$100,"&gt;=2024/9/1",$A$1:$A$100,"&lt;=2024/9/30",$E$1:$E$100,"×")</f>
        <v>1</v>
      </c>
      <c r="M16" s="73">
        <f t="shared" si="0"/>
        <v>0.5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1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>
        <f t="shared" ref="M24:M27" si="1">IFERROR(L24/K$4, "-")</f>
        <v>0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1</v>
      </c>
      <c r="M25" s="67">
        <f t="shared" si="1"/>
        <v>1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>
        <f t="shared" si="1"/>
        <v>0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2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5EF70716-FC2D-4250-94E8-70EE9F60015B}">
      <formula1>$P$7:$P$9</formula1>
    </dataValidation>
    <dataValidation type="list" allowBlank="1" showInputMessage="1" showErrorMessage="1" sqref="H2:H121" xr:uid="{6D2EAFC8-85FC-4B39-B326-AA7A60D06FAF}">
      <formula1>$J$31:$J$35</formula1>
    </dataValidation>
    <dataValidation type="list" allowBlank="1" showInputMessage="1" showErrorMessage="1" sqref="F2:F121" xr:uid="{59B59C92-A8F7-4DBA-9F3C-BAF97DD1A4E0}">
      <formula1>$J$23:$J$27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197B2-6905-42BD-BD52-737DDFA3DD93}">
  <sheetPr codeName="Sheet31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45545</v>
      </c>
      <c r="B2" s="48" t="s">
        <v>259</v>
      </c>
      <c r="C2" s="48" t="s">
        <v>123</v>
      </c>
      <c r="D2" s="48" t="s">
        <v>202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1</v>
      </c>
      <c r="L16" s="1">
        <f>COUNTIFS($A$1:$A$100,"&gt;=2024/9/1",$A$1:$A$100,"&lt;=2024/9/30",$E$1:$E$100,"×")</f>
        <v>0</v>
      </c>
      <c r="M16" s="73">
        <f t="shared" si="0"/>
        <v>0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2B8BCA01-74B2-45FA-945B-EFD3E0F0042B}">
      <formula1>$P$7:$P$9</formula1>
    </dataValidation>
    <dataValidation type="list" allowBlank="1" showInputMessage="1" showErrorMessage="1" sqref="H2:H121" xr:uid="{8610AC2D-7FB2-48DF-9127-4A6BB3A4E1A7}">
      <formula1>$J$31:$J$35</formula1>
    </dataValidation>
    <dataValidation type="list" allowBlank="1" showInputMessage="1" showErrorMessage="1" sqref="F2:F121" xr:uid="{EAA09564-D23C-4206-99AA-C6F1DAC88EBF}">
      <formula1>$J$23:$J$27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A2948-E910-4DA1-BC18-24BC732FCD82}">
  <sheetPr codeName="Sheet32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45548</v>
      </c>
      <c r="B2" s="48" t="s">
        <v>260</v>
      </c>
      <c r="C2" s="48" t="s">
        <v>124</v>
      </c>
      <c r="D2" s="48" t="s">
        <v>203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1</v>
      </c>
      <c r="L16" s="1">
        <f>COUNTIFS($A$1:$A$100,"&gt;=2024/9/1",$A$1:$A$100,"&lt;=2024/9/30",$E$1:$E$100,"×")</f>
        <v>0</v>
      </c>
      <c r="M16" s="73">
        <f t="shared" si="0"/>
        <v>0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63802FDC-4A5F-4A3E-AAF7-1E11D9403936}">
      <formula1>$P$7:$P$9</formula1>
    </dataValidation>
    <dataValidation type="list" allowBlank="1" showInputMessage="1" showErrorMessage="1" sqref="H2:H121" xr:uid="{A18E5052-0F69-4274-9A5B-01C80257FF1B}">
      <formula1>$J$31:$J$35</formula1>
    </dataValidation>
    <dataValidation type="list" allowBlank="1" showInputMessage="1" showErrorMessage="1" sqref="F2:F121" xr:uid="{A7717294-0523-42A2-ADF7-F3E823EF2BE6}">
      <formula1>$J$23:$J$27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BF342-5645-4D71-94AE-5AAC58500082}">
  <sheetPr codeName="Sheet33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45559</v>
      </c>
      <c r="B2" s="48" t="s">
        <v>261</v>
      </c>
      <c r="C2" s="48" t="s">
        <v>125</v>
      </c>
      <c r="D2" s="48" t="s">
        <v>204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>
        <v>45574</v>
      </c>
      <c r="B3" s="1" t="s">
        <v>261</v>
      </c>
      <c r="C3" s="1" t="s">
        <v>126</v>
      </c>
      <c r="D3" s="1" t="s">
        <v>205</v>
      </c>
      <c r="E3" s="1" t="s">
        <v>52</v>
      </c>
      <c r="F3" s="1"/>
      <c r="G3" s="1"/>
      <c r="H3" s="4" t="s">
        <v>230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45575</v>
      </c>
      <c r="B4" s="1" t="s">
        <v>261</v>
      </c>
      <c r="C4" s="1" t="s">
        <v>127</v>
      </c>
      <c r="D4" s="1" t="s">
        <v>206</v>
      </c>
      <c r="E4" s="1" t="s">
        <v>67</v>
      </c>
      <c r="F4" s="1"/>
      <c r="G4" s="1"/>
      <c r="H4" s="4" t="s">
        <v>230</v>
      </c>
      <c r="J4" s="6">
        <f>COUNTA(A2:A120)</f>
        <v>6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>
        <v>45576</v>
      </c>
      <c r="B5" s="1" t="s">
        <v>261</v>
      </c>
      <c r="C5" s="1" t="s">
        <v>128</v>
      </c>
      <c r="D5" s="1" t="s">
        <v>207</v>
      </c>
      <c r="E5" s="1" t="s">
        <v>52</v>
      </c>
      <c r="F5" s="1"/>
      <c r="G5" s="1"/>
      <c r="H5" s="4" t="s">
        <v>228</v>
      </c>
    </row>
    <row r="6" spans="1:18" x14ac:dyDescent="0.5">
      <c r="A6" s="53">
        <v>45580</v>
      </c>
      <c r="B6" s="1" t="s">
        <v>261</v>
      </c>
      <c r="C6" s="1" t="s">
        <v>129</v>
      </c>
      <c r="D6" s="1" t="s">
        <v>208</v>
      </c>
      <c r="E6" s="1" t="s">
        <v>52</v>
      </c>
      <c r="F6" s="1"/>
      <c r="G6" s="1"/>
      <c r="H6" s="4" t="s">
        <v>228</v>
      </c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>
        <v>45581</v>
      </c>
      <c r="B7" s="1" t="s">
        <v>261</v>
      </c>
      <c r="C7" s="1" t="s">
        <v>130</v>
      </c>
      <c r="D7" s="1" t="s">
        <v>209</v>
      </c>
      <c r="E7" s="1" t="s">
        <v>52</v>
      </c>
      <c r="F7" s="1"/>
      <c r="G7" s="1"/>
      <c r="H7" s="4" t="s">
        <v>230</v>
      </c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1</v>
      </c>
      <c r="L16" s="1">
        <f>COUNTIFS($A$1:$A$100,"&gt;=2024/9/1",$A$1:$A$100,"&lt;=2024/9/30",$E$1:$E$100,"×")</f>
        <v>0</v>
      </c>
      <c r="M16" s="73">
        <f t="shared" si="0"/>
        <v>0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5</v>
      </c>
      <c r="L17" s="1">
        <f>COUNTIFS($A$1:$A$100,"&gt;=2024/9/1",$A$1:$A$100,"&lt;=2024/9/30",$E$1:$E$100,"×")</f>
        <v>0</v>
      </c>
      <c r="M17" s="73">
        <f t="shared" si="0"/>
        <v>0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3</v>
      </c>
      <c r="L31" s="27">
        <f>IFERROR(K31/J$4, "-")</f>
        <v>0.5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3</v>
      </c>
      <c r="L32" s="27">
        <f>IFERROR(K32/J$4, "-")</f>
        <v>0.5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50E974F8-D962-4374-9953-943899575F00}">
      <formula1>$P$7:$P$9</formula1>
    </dataValidation>
    <dataValidation type="list" allowBlank="1" showInputMessage="1" showErrorMessage="1" sqref="H2:H121" xr:uid="{A15434B6-3EEB-4D71-AAB2-39EB06D57330}">
      <formula1>$J$31:$J$35</formula1>
    </dataValidation>
    <dataValidation type="list" allowBlank="1" showInputMessage="1" showErrorMessage="1" sqref="F2:F121" xr:uid="{AD0D24C5-2F64-4EB8-846F-D141671ECD2B}">
      <formula1>$J$23:$J$27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B32A8-EAF5-4281-B76D-FA90783EC4D2}">
  <sheetPr codeName="Sheet34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45582</v>
      </c>
      <c r="B2" s="48" t="s">
        <v>262</v>
      </c>
      <c r="C2" s="48" t="s">
        <v>131</v>
      </c>
      <c r="D2" s="48" t="s">
        <v>210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1</v>
      </c>
      <c r="L17" s="1">
        <f>COUNTIFS($A$1:$A$100,"&gt;=2024/9/1",$A$1:$A$100,"&lt;=2024/9/30",$E$1:$E$100,"×")</f>
        <v>0</v>
      </c>
      <c r="M17" s="73">
        <f t="shared" si="0"/>
        <v>0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E777657E-9C8F-4154-AEF6-E39B37A7C3B8}">
      <formula1>$P$7:$P$9</formula1>
    </dataValidation>
    <dataValidation type="list" allowBlank="1" showInputMessage="1" showErrorMessage="1" sqref="H2:H121" xr:uid="{1402D4B5-40E5-4B2A-A506-73F50BCBF4C9}">
      <formula1>$J$31:$J$35</formula1>
    </dataValidation>
    <dataValidation type="list" allowBlank="1" showInputMessage="1" showErrorMessage="1" sqref="F2:F121" xr:uid="{165288E3-04F1-4318-954E-66B1A2211839}">
      <formula1>$J$23:$J$27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08CD5-8348-4743-A7C4-B2D9B1B5AAC4}">
  <sheetPr codeName="Sheet35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45593</v>
      </c>
      <c r="B2" s="48" t="s">
        <v>263</v>
      </c>
      <c r="C2" s="48" t="s">
        <v>132</v>
      </c>
      <c r="D2" s="48" t="s">
        <v>211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1</v>
      </c>
      <c r="L17" s="1">
        <f>COUNTIFS($A$1:$A$100,"&gt;=2024/9/1",$A$1:$A$100,"&lt;=2024/9/30",$E$1:$E$100,"×")</f>
        <v>0</v>
      </c>
      <c r="M17" s="73">
        <f t="shared" si="0"/>
        <v>0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72A26ABD-1009-4A1B-B752-AC5C377E0EDA}">
      <formula1>$P$7:$P$9</formula1>
    </dataValidation>
    <dataValidation type="list" allowBlank="1" showInputMessage="1" showErrorMessage="1" sqref="H2:H121" xr:uid="{9E9D6C95-6181-4EE2-BAEB-8BAB60E85E51}">
      <formula1>$J$31:$J$35</formula1>
    </dataValidation>
    <dataValidation type="list" allowBlank="1" showInputMessage="1" showErrorMessage="1" sqref="F2:F121" xr:uid="{281CD537-87EC-40B8-B68F-AFABA685B84B}">
      <formula1>$J$23:$J$27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BED97-5580-4B83-A0A3-7A615A7E94F3}">
  <sheetPr codeName="Sheet36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45595</v>
      </c>
      <c r="B2" s="48" t="s">
        <v>264</v>
      </c>
      <c r="C2" s="48" t="s">
        <v>133</v>
      </c>
      <c r="D2" s="48" t="s">
        <v>212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1</v>
      </c>
      <c r="L17" s="1">
        <f>COUNTIFS($A$1:$A$100,"&gt;=2024/9/1",$A$1:$A$100,"&lt;=2024/9/30",$E$1:$E$100,"×")</f>
        <v>0</v>
      </c>
      <c r="M17" s="73">
        <f t="shared" si="0"/>
        <v>0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016FED5D-081A-4E86-A518-0C1BC388C00E}">
      <formula1>$P$7:$P$9</formula1>
    </dataValidation>
    <dataValidation type="list" allowBlank="1" showInputMessage="1" showErrorMessage="1" sqref="H2:H121" xr:uid="{8823FA54-C076-420E-A975-9F763818EE86}">
      <formula1>$J$31:$J$35</formula1>
    </dataValidation>
    <dataValidation type="list" allowBlank="1" showInputMessage="1" showErrorMessage="1" sqref="F2:F121" xr:uid="{5815BDB7-55AB-45CB-A758-1082C055D9C8}">
      <formula1>$J$23:$J$27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B5164-2D5F-4BA1-A0C4-6FB989E84305}">
  <sheetPr codeName="Sheet37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45602</v>
      </c>
      <c r="B2" s="48" t="s">
        <v>265</v>
      </c>
      <c r="C2" s="48" t="s">
        <v>134</v>
      </c>
      <c r="D2" s="48" t="s">
        <v>213</v>
      </c>
      <c r="E2" s="48" t="s">
        <v>52</v>
      </c>
      <c r="F2" s="48"/>
      <c r="G2" s="48"/>
      <c r="H2" s="49" t="s">
        <v>228</v>
      </c>
      <c r="J2" s="61" t="s">
        <v>33</v>
      </c>
      <c r="K2" s="62"/>
      <c r="L2" s="63"/>
    </row>
    <row r="3" spans="1:18" x14ac:dyDescent="0.5">
      <c r="A3" s="53">
        <v>45610</v>
      </c>
      <c r="B3" s="1" t="s">
        <v>265</v>
      </c>
      <c r="C3" s="1" t="s">
        <v>135</v>
      </c>
      <c r="D3" s="1" t="s">
        <v>214</v>
      </c>
      <c r="E3" s="1" t="s">
        <v>51</v>
      </c>
      <c r="F3" s="1"/>
      <c r="G3" s="1"/>
      <c r="H3" s="4" t="s">
        <v>228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45612</v>
      </c>
      <c r="B4" s="1" t="s">
        <v>265</v>
      </c>
      <c r="C4" s="1" t="s">
        <v>136</v>
      </c>
      <c r="D4" s="1" t="s">
        <v>215</v>
      </c>
      <c r="E4" s="1" t="s">
        <v>52</v>
      </c>
      <c r="F4" s="1"/>
      <c r="G4" s="1"/>
      <c r="H4" s="4" t="s">
        <v>230</v>
      </c>
      <c r="J4" s="6">
        <f>COUNTA(A2:A120)</f>
        <v>6</v>
      </c>
      <c r="K4" s="7">
        <f>COUNTIF(E2:E120,"*×*")</f>
        <v>1</v>
      </c>
      <c r="L4" s="26">
        <f>IF(J4&lt;&gt;0, K4/J4, "-")</f>
        <v>0.16666666666666666</v>
      </c>
    </row>
    <row r="5" spans="1:18" ht="18.3" thickBot="1" x14ac:dyDescent="0.55000000000000004">
      <c r="A5" s="53">
        <v>45623</v>
      </c>
      <c r="B5" s="1" t="s">
        <v>265</v>
      </c>
      <c r="C5" s="1" t="s">
        <v>137</v>
      </c>
      <c r="D5" s="1" t="s">
        <v>216</v>
      </c>
      <c r="E5" s="1" t="s">
        <v>52</v>
      </c>
      <c r="F5" s="1"/>
      <c r="G5" s="1"/>
      <c r="H5" s="4" t="s">
        <v>230</v>
      </c>
    </row>
    <row r="6" spans="1:18" x14ac:dyDescent="0.5">
      <c r="A6" s="53">
        <v>45630</v>
      </c>
      <c r="B6" s="1" t="s">
        <v>265</v>
      </c>
      <c r="C6" s="1" t="s">
        <v>138</v>
      </c>
      <c r="D6" s="1" t="s">
        <v>217</v>
      </c>
      <c r="E6" s="1" t="s">
        <v>52</v>
      </c>
      <c r="F6" s="1"/>
      <c r="G6" s="1"/>
      <c r="H6" s="4" t="s">
        <v>228</v>
      </c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>
        <v>45632</v>
      </c>
      <c r="B7" s="1" t="s">
        <v>265</v>
      </c>
      <c r="C7" s="1" t="s">
        <v>139</v>
      </c>
      <c r="D7" s="1" t="s">
        <v>218</v>
      </c>
      <c r="E7" s="1" t="s">
        <v>52</v>
      </c>
      <c r="F7" s="1"/>
      <c r="G7" s="1"/>
      <c r="H7" s="4" t="s">
        <v>228</v>
      </c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4</v>
      </c>
      <c r="L18" s="1">
        <f>COUNTIFS($A$1:$A$100,"&gt;=2024/11/1",$A$1:$A$100,"&lt;=2024/11/30",$E$1:$E$100,"×")</f>
        <v>1</v>
      </c>
      <c r="M18" s="73">
        <f t="shared" si="0"/>
        <v>0.25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2</v>
      </c>
      <c r="L19" s="7">
        <f>COUNTIFS($A$1:$A$100,"&gt;=2024/12/1",$A$1:$A$100,"&lt;=2024/12/31",$E$1:$E$100,"×")</f>
        <v>0</v>
      </c>
      <c r="M19" s="75">
        <f t="shared" si="0"/>
        <v>0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>
        <f t="shared" ref="M24:M27" si="1">IFERROR(L24/K$4, "-")</f>
        <v>0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>
        <f t="shared" si="1"/>
        <v>0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>
        <f t="shared" si="1"/>
        <v>0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2</v>
      </c>
      <c r="L31" s="27">
        <f>IFERROR(K31/J$4, "-")</f>
        <v>0.33333333333333331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4</v>
      </c>
      <c r="L32" s="27">
        <f>IFERROR(K32/J$4, "-")</f>
        <v>0.66666666666666663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01E5F1B2-5612-402F-947F-E3731EFD6EBA}">
      <formula1>$P$7:$P$9</formula1>
    </dataValidation>
    <dataValidation type="list" allowBlank="1" showInputMessage="1" showErrorMessage="1" sqref="H2:H121" xr:uid="{7E616DEB-6E0D-4BBF-9AC2-A1BAB255D287}">
      <formula1>$J$31:$J$35</formula1>
    </dataValidation>
    <dataValidation type="list" allowBlank="1" showInputMessage="1" showErrorMessage="1" sqref="F2:F121" xr:uid="{8D1528F1-6F31-49D8-BDEE-6BE1629E7CAC}">
      <formula1>$J$23:$J$27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D8B19-A2A2-41A4-A167-E187BEF5A71A}">
  <sheetPr codeName="Sheet38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45635</v>
      </c>
      <c r="B2" s="48" t="s">
        <v>266</v>
      </c>
      <c r="C2" s="48" t="s">
        <v>140</v>
      </c>
      <c r="D2" s="48" t="s">
        <v>219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1</v>
      </c>
      <c r="L19" s="7">
        <f>COUNTIFS($A$1:$A$100,"&gt;=2024/12/1",$A$1:$A$100,"&lt;=2024/12/31",$E$1:$E$100,"×")</f>
        <v>0</v>
      </c>
      <c r="M19" s="75">
        <f t="shared" si="0"/>
        <v>0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0CFA90E5-9992-4C40-81B1-ECC74924D680}">
      <formula1>$P$7:$P$9</formula1>
    </dataValidation>
    <dataValidation type="list" allowBlank="1" showInputMessage="1" showErrorMessage="1" sqref="H2:H121" xr:uid="{B46469E8-D24F-4809-A6D8-19A53092155C}">
      <formula1>$J$31:$J$35</formula1>
    </dataValidation>
    <dataValidation type="list" allowBlank="1" showInputMessage="1" showErrorMessage="1" sqref="F2:F121" xr:uid="{EE92161E-7F2E-4EB2-9375-21712635A1C4}">
      <formula1>$J$23:$J$27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7DD66-9A41-485F-B3E0-B5634AD56113}">
  <sheetPr codeName="Sheet39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45635</v>
      </c>
      <c r="B2" s="48" t="s">
        <v>267</v>
      </c>
      <c r="C2" s="48" t="s">
        <v>141</v>
      </c>
      <c r="D2" s="48" t="s">
        <v>220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>
        <v>45635</v>
      </c>
      <c r="B3" s="1" t="s">
        <v>267</v>
      </c>
      <c r="C3" s="1" t="s">
        <v>142</v>
      </c>
      <c r="D3" s="1" t="s">
        <v>221</v>
      </c>
      <c r="E3" s="1" t="s">
        <v>52</v>
      </c>
      <c r="F3" s="1"/>
      <c r="G3" s="1"/>
      <c r="H3" s="4" t="s">
        <v>228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45639</v>
      </c>
      <c r="B4" s="1" t="s">
        <v>267</v>
      </c>
      <c r="C4" s="1" t="s">
        <v>143</v>
      </c>
      <c r="D4" s="1" t="s">
        <v>222</v>
      </c>
      <c r="E4" s="1" t="s">
        <v>52</v>
      </c>
      <c r="F4" s="1"/>
      <c r="G4" s="1"/>
      <c r="H4" s="4" t="s">
        <v>228</v>
      </c>
      <c r="J4" s="6">
        <f>COUNTA(A2:A120)</f>
        <v>4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>
        <v>45645</v>
      </c>
      <c r="B5" s="1" t="s">
        <v>267</v>
      </c>
      <c r="C5" s="1" t="s">
        <v>144</v>
      </c>
      <c r="D5" s="1" t="s">
        <v>223</v>
      </c>
      <c r="E5" s="1" t="s">
        <v>52</v>
      </c>
      <c r="F5" s="1"/>
      <c r="G5" s="1"/>
      <c r="H5" s="4" t="s">
        <v>230</v>
      </c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4</v>
      </c>
      <c r="L19" s="7">
        <f>COUNTIFS($A$1:$A$100,"&gt;=2024/12/1",$A$1:$A$100,"&lt;=2024/12/31",$E$1:$E$100,"×")</f>
        <v>0</v>
      </c>
      <c r="M19" s="75">
        <f t="shared" si="0"/>
        <v>0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2</v>
      </c>
      <c r="L31" s="27">
        <f>IFERROR(K31/J$4, "-")</f>
        <v>0.5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2</v>
      </c>
      <c r="L32" s="27">
        <f>IFERROR(K32/J$4, "-")</f>
        <v>0.5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38CA9B82-747C-43F1-AE78-155918A4DE1F}">
      <formula1>$P$7:$P$9</formula1>
    </dataValidation>
    <dataValidation type="list" allowBlank="1" showInputMessage="1" showErrorMessage="1" sqref="H2:H121" xr:uid="{9ABFC4BB-B44A-424C-9439-6C3DD2E3952A}">
      <formula1>$J$31:$J$35</formula1>
    </dataValidation>
    <dataValidation type="list" allowBlank="1" showInputMessage="1" showErrorMessage="1" sqref="F2:F121" xr:uid="{A0B104E6-B58D-4C96-9AAE-C0FA78328DAF}">
      <formula1>$J$23:$J$27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7EDDE-78BC-43B3-A643-EFF0C4C5B86F}">
  <sheetPr codeName="Sheet40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45649</v>
      </c>
      <c r="B2" s="48" t="s">
        <v>268</v>
      </c>
      <c r="C2" s="48" t="s">
        <v>145</v>
      </c>
      <c r="D2" s="48" t="s">
        <v>224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1</v>
      </c>
      <c r="L19" s="7">
        <f>COUNTIFS($A$1:$A$100,"&gt;=2024/12/1",$A$1:$A$100,"&lt;=2024/12/31",$E$1:$E$100,"×")</f>
        <v>0</v>
      </c>
      <c r="M19" s="75">
        <f t="shared" si="0"/>
        <v>0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FC1A27AE-385A-4565-9D4F-F60D35BD94A7}">
      <formula1>$P$7:$P$9</formula1>
    </dataValidation>
    <dataValidation type="list" allowBlank="1" showInputMessage="1" showErrorMessage="1" sqref="H2:H121" xr:uid="{B7DFB866-D095-4E28-B480-1E33BA41A94C}">
      <formula1>$J$31:$J$35</formula1>
    </dataValidation>
    <dataValidation type="list" allowBlank="1" showInputMessage="1" showErrorMessage="1" sqref="F2:F121" xr:uid="{A8526DCE-1A91-4E57-9715-ED8760AEC30C}">
      <formula1>$J$23:$J$27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DCB3F-8F7A-4E4F-A78C-B2D8F51C5971}">
  <sheetPr codeName="Sheet41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45650</v>
      </c>
      <c r="B2" s="48" t="s">
        <v>239</v>
      </c>
      <c r="C2" s="48" t="s">
        <v>146</v>
      </c>
      <c r="D2" s="48" t="s">
        <v>225</v>
      </c>
      <c r="E2" s="48" t="s">
        <v>52</v>
      </c>
      <c r="F2" s="48"/>
      <c r="G2" s="48"/>
      <c r="H2" s="49" t="s">
        <v>230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1</v>
      </c>
      <c r="L19" s="7">
        <f>COUNTIFS($A$1:$A$100,"&gt;=2024/12/1",$A$1:$A$100,"&lt;=2024/12/31",$E$1:$E$100,"×")</f>
        <v>0</v>
      </c>
      <c r="M19" s="75">
        <f t="shared" si="0"/>
        <v>0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82254A3C-15FC-4403-A2A4-51A4EC8F5D08}">
      <formula1>$P$7:$P$9</formula1>
    </dataValidation>
    <dataValidation type="list" allowBlank="1" showInputMessage="1" showErrorMessage="1" sqref="H2:H121" xr:uid="{F2DE3A2B-9DD1-40F9-B6D7-5D8E3E4D683E}">
      <formula1>$J$31:$J$35</formula1>
    </dataValidation>
    <dataValidation type="list" allowBlank="1" showInputMessage="1" showErrorMessage="1" sqref="F2:F121" xr:uid="{AAFAE221-590E-4AD4-9A35-516F2C7C7F36}">
      <formula1>$J$23:$J$27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40</vt:i4>
      </vt:variant>
    </vt:vector>
  </HeadingPairs>
  <TitlesOfParts>
    <vt:vector size="40" baseType="lpstr">
      <vt:lpstr>仕様書</vt:lpstr>
      <vt:lpstr>ALL</vt:lpstr>
      <vt:lpstr>原本</vt:lpstr>
      <vt:lpstr>Aケアセンター</vt:lpstr>
      <vt:lpstr>Eケアプラン</vt:lpstr>
      <vt:lpstr>Fホームケア</vt:lpstr>
      <vt:lpstr>K地域支援センター</vt:lpstr>
      <vt:lpstr>L看護ケアセンター</vt:lpstr>
      <vt:lpstr>M総合ケアセンター</vt:lpstr>
      <vt:lpstr>N訪問サポート</vt:lpstr>
      <vt:lpstr>Q訪問ケア</vt:lpstr>
      <vt:lpstr>Rウェルフェアセンター</vt:lpstr>
      <vt:lpstr>S医療センター</vt:lpstr>
      <vt:lpstr>Tライフサポート</vt:lpstr>
      <vt:lpstr>X地域支援センター</vt:lpstr>
      <vt:lpstr>Yケアセンター</vt:lpstr>
      <vt:lpstr>Z福祉サポート</vt:lpstr>
      <vt:lpstr>ADケアプラン</vt:lpstr>
      <vt:lpstr>AEホームケア</vt:lpstr>
      <vt:lpstr>AFウェルフェアセンター</vt:lpstr>
      <vt:lpstr>AK地域支援センター</vt:lpstr>
      <vt:lpstr>AL医療センター</vt:lpstr>
      <vt:lpstr>AM福祉サポート</vt:lpstr>
      <vt:lpstr>AN訪問サポート</vt:lpstr>
      <vt:lpstr>AT総合ケアセンター</vt:lpstr>
      <vt:lpstr>AU在宅ケアステーション</vt:lpstr>
      <vt:lpstr>AV福祉サポート</vt:lpstr>
      <vt:lpstr>BAケアプラン</vt:lpstr>
      <vt:lpstr>BBケアセンター</vt:lpstr>
      <vt:lpstr>BD地域支援センター</vt:lpstr>
      <vt:lpstr>BE総合ケアセンター</vt:lpstr>
      <vt:lpstr>BFホームケア</vt:lpstr>
      <vt:lpstr>BL在宅ケアステーション</vt:lpstr>
      <vt:lpstr>BM訪問ケア</vt:lpstr>
      <vt:lpstr>BNウェルフェアセンター</vt:lpstr>
      <vt:lpstr>BOケアプラン</vt:lpstr>
      <vt:lpstr>BUライフサポート</vt:lpstr>
      <vt:lpstr>BV福祉サポート</vt:lpstr>
      <vt:lpstr>BZ在宅ケアステーション</vt:lpstr>
      <vt:lpstr>Pケアセンター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kmr02</dc:creator>
  <cp:lastModifiedBy>User</cp:lastModifiedBy>
  <cp:lastPrinted>2025-01-09T02:21:53Z</cp:lastPrinted>
  <dcterms:created xsi:type="dcterms:W3CDTF">2024-01-30T03:44:52Z</dcterms:created>
  <dcterms:modified xsi:type="dcterms:W3CDTF">2025-11-21T01:35:47Z</dcterms:modified>
</cp:coreProperties>
</file>